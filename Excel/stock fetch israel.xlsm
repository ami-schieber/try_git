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mi.schieber/Work/Excel/"/>
    </mc:Choice>
  </mc:AlternateContent>
  <bookViews>
    <workbookView xWindow="11200" yWindow="460" windowWidth="28800" windowHeight="16480" tabRatio="500" activeTab="2"/>
  </bookViews>
  <sheets>
    <sheet name="Sheet1" sheetId="1" r:id="rId1"/>
    <sheet name="Sheet2" sheetId="2" r:id="rId2"/>
    <sheet name="Sheet3" sheetId="4" r:id="rId3"/>
  </sheets>
  <definedNames>
    <definedName name="ExternalData_1" localSheetId="0">Sheet1!$A$1:$P$430</definedName>
    <definedName name="ExternalData_9" localSheetId="0">Sheet1!$A$1:$H$406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35" i="4" l="1"/>
  <c r="F135" i="4"/>
  <c r="L135" i="4"/>
  <c r="J135" i="4"/>
  <c r="M135" i="4"/>
  <c r="N135" i="4"/>
  <c r="K135" i="4"/>
  <c r="I134" i="4"/>
  <c r="F134" i="4"/>
  <c r="L134" i="4"/>
  <c r="J134" i="4"/>
  <c r="M134" i="4"/>
  <c r="N134" i="4"/>
  <c r="K134" i="4"/>
  <c r="I133" i="4"/>
  <c r="F133" i="4"/>
  <c r="L133" i="4"/>
  <c r="J133" i="4"/>
  <c r="M133" i="4"/>
  <c r="N133" i="4"/>
  <c r="K133" i="4"/>
  <c r="I132" i="4"/>
  <c r="F132" i="4"/>
  <c r="L132" i="4"/>
  <c r="J132" i="4"/>
  <c r="M132" i="4"/>
  <c r="N132" i="4"/>
  <c r="K132" i="4"/>
  <c r="I131" i="4"/>
  <c r="F131" i="4"/>
  <c r="L131" i="4"/>
  <c r="J131" i="4"/>
  <c r="M131" i="4"/>
  <c r="N131" i="4"/>
  <c r="K131" i="4"/>
  <c r="I130" i="4"/>
  <c r="F130" i="4"/>
  <c r="L130" i="4"/>
  <c r="J130" i="4"/>
  <c r="M130" i="4"/>
  <c r="N130" i="4"/>
  <c r="K130" i="4"/>
  <c r="I129" i="4"/>
  <c r="F129" i="4"/>
  <c r="L129" i="4"/>
  <c r="J129" i="4"/>
  <c r="M129" i="4"/>
  <c r="N129" i="4"/>
  <c r="K129" i="4"/>
  <c r="I128" i="4"/>
  <c r="F128" i="4"/>
  <c r="L128" i="4"/>
  <c r="J128" i="4"/>
  <c r="M128" i="4"/>
  <c r="N128" i="4"/>
  <c r="K128" i="4"/>
  <c r="I127" i="4"/>
  <c r="F127" i="4"/>
  <c r="L127" i="4"/>
  <c r="J127" i="4"/>
  <c r="M127" i="4"/>
  <c r="N127" i="4"/>
  <c r="K127" i="4"/>
  <c r="I126" i="4"/>
  <c r="F126" i="4"/>
  <c r="L126" i="4"/>
  <c r="J126" i="4"/>
  <c r="M126" i="4"/>
  <c r="N126" i="4"/>
  <c r="K126" i="4"/>
  <c r="I125" i="4"/>
  <c r="F125" i="4"/>
  <c r="L125" i="4"/>
  <c r="J125" i="4"/>
  <c r="M125" i="4"/>
  <c r="N125" i="4"/>
  <c r="K125" i="4"/>
  <c r="I124" i="4"/>
  <c r="F124" i="4"/>
  <c r="L124" i="4"/>
  <c r="J124" i="4"/>
  <c r="M124" i="4"/>
  <c r="N124" i="4"/>
  <c r="K124" i="4"/>
  <c r="I123" i="4"/>
  <c r="F123" i="4"/>
  <c r="L123" i="4"/>
  <c r="J123" i="4"/>
  <c r="M123" i="4"/>
  <c r="N123" i="4"/>
  <c r="K123" i="4"/>
  <c r="I122" i="4"/>
  <c r="F122" i="4"/>
  <c r="L122" i="4"/>
  <c r="J122" i="4"/>
  <c r="M122" i="4"/>
  <c r="N122" i="4"/>
  <c r="K122" i="4"/>
  <c r="I121" i="4"/>
  <c r="F121" i="4"/>
  <c r="L121" i="4"/>
  <c r="J121" i="4"/>
  <c r="M121" i="4"/>
  <c r="N121" i="4"/>
  <c r="K121" i="4"/>
  <c r="I120" i="4"/>
  <c r="F120" i="4"/>
  <c r="L120" i="4"/>
  <c r="J120" i="4"/>
  <c r="M120" i="4"/>
  <c r="N120" i="4"/>
  <c r="K120" i="4"/>
  <c r="I119" i="4"/>
  <c r="F119" i="4"/>
  <c r="L119" i="4"/>
  <c r="J119" i="4"/>
  <c r="M119" i="4"/>
  <c r="N119" i="4"/>
  <c r="K119" i="4"/>
  <c r="I118" i="4"/>
  <c r="F118" i="4"/>
  <c r="L118" i="4"/>
  <c r="J118" i="4"/>
  <c r="M118" i="4"/>
  <c r="N118" i="4"/>
  <c r="K118" i="4"/>
  <c r="I117" i="4"/>
  <c r="F117" i="4"/>
  <c r="L117" i="4"/>
  <c r="J117" i="4"/>
  <c r="M117" i="4"/>
  <c r="N117" i="4"/>
  <c r="K117" i="4"/>
  <c r="I116" i="4"/>
  <c r="F116" i="4"/>
  <c r="L116" i="4"/>
  <c r="J116" i="4"/>
  <c r="M116" i="4"/>
  <c r="N116" i="4"/>
  <c r="K116" i="4"/>
  <c r="I115" i="4"/>
  <c r="F115" i="4"/>
  <c r="L115" i="4"/>
  <c r="J115" i="4"/>
  <c r="M115" i="4"/>
  <c r="N115" i="4"/>
  <c r="K115" i="4"/>
  <c r="I114" i="4"/>
  <c r="F114" i="4"/>
  <c r="L114" i="4"/>
  <c r="J114" i="4"/>
  <c r="M114" i="4"/>
  <c r="N114" i="4"/>
  <c r="K114" i="4"/>
  <c r="I113" i="4"/>
  <c r="F113" i="4"/>
  <c r="L113" i="4"/>
  <c r="J113" i="4"/>
  <c r="M113" i="4"/>
  <c r="N113" i="4"/>
  <c r="K113" i="4"/>
  <c r="I112" i="4"/>
  <c r="F112" i="4"/>
  <c r="L112" i="4"/>
  <c r="J112" i="4"/>
  <c r="M112" i="4"/>
  <c r="N112" i="4"/>
  <c r="K112" i="4"/>
  <c r="I111" i="4"/>
  <c r="F111" i="4"/>
  <c r="L111" i="4"/>
  <c r="J111" i="4"/>
  <c r="M111" i="4"/>
  <c r="N111" i="4"/>
  <c r="K111" i="4"/>
  <c r="I110" i="4"/>
  <c r="F110" i="4"/>
  <c r="L110" i="4"/>
  <c r="J110" i="4"/>
  <c r="M110" i="4"/>
  <c r="N110" i="4"/>
  <c r="K110" i="4"/>
  <c r="I109" i="4"/>
  <c r="F109" i="4"/>
  <c r="L109" i="4"/>
  <c r="J109" i="4"/>
  <c r="M109" i="4"/>
  <c r="N109" i="4"/>
  <c r="K109" i="4"/>
  <c r="I108" i="4"/>
  <c r="F108" i="4"/>
  <c r="L108" i="4"/>
  <c r="J108" i="4"/>
  <c r="M108" i="4"/>
  <c r="N108" i="4"/>
  <c r="K108" i="4"/>
  <c r="I107" i="4"/>
  <c r="F107" i="4"/>
  <c r="L107" i="4"/>
  <c r="J107" i="4"/>
  <c r="M107" i="4"/>
  <c r="N107" i="4"/>
  <c r="K107" i="4"/>
  <c r="I106" i="4"/>
  <c r="F106" i="4"/>
  <c r="L106" i="4"/>
  <c r="J106" i="4"/>
  <c r="M106" i="4"/>
  <c r="N106" i="4"/>
  <c r="K106" i="4"/>
  <c r="I105" i="4"/>
  <c r="F105" i="4"/>
  <c r="L105" i="4"/>
  <c r="J105" i="4"/>
  <c r="M105" i="4"/>
  <c r="N105" i="4"/>
  <c r="K105" i="4"/>
  <c r="I104" i="4"/>
  <c r="F104" i="4"/>
  <c r="L104" i="4"/>
  <c r="J104" i="4"/>
  <c r="M104" i="4"/>
  <c r="N104" i="4"/>
  <c r="K104" i="4"/>
  <c r="I103" i="4"/>
  <c r="F103" i="4"/>
  <c r="L103" i="4"/>
  <c r="J103" i="4"/>
  <c r="M103" i="4"/>
  <c r="N103" i="4"/>
  <c r="K103" i="4"/>
  <c r="I102" i="4"/>
  <c r="F102" i="4"/>
  <c r="L102" i="4"/>
  <c r="J102" i="4"/>
  <c r="M102" i="4"/>
  <c r="N102" i="4"/>
  <c r="K102" i="4"/>
  <c r="I101" i="4"/>
  <c r="F101" i="4"/>
  <c r="L101" i="4"/>
  <c r="J101" i="4"/>
  <c r="M101" i="4"/>
  <c r="N101" i="4"/>
  <c r="K101" i="4"/>
  <c r="I100" i="4"/>
  <c r="F100" i="4"/>
  <c r="L100" i="4"/>
  <c r="J100" i="4"/>
  <c r="M100" i="4"/>
  <c r="N100" i="4"/>
  <c r="K100" i="4"/>
  <c r="I99" i="4"/>
  <c r="F99" i="4"/>
  <c r="L99" i="4"/>
  <c r="J99" i="4"/>
  <c r="M99" i="4"/>
  <c r="N99" i="4"/>
  <c r="K99" i="4"/>
  <c r="I98" i="4"/>
  <c r="F98" i="4"/>
  <c r="L98" i="4"/>
  <c r="J98" i="4"/>
  <c r="M98" i="4"/>
  <c r="N98" i="4"/>
  <c r="K98" i="4"/>
  <c r="I97" i="4"/>
  <c r="F97" i="4"/>
  <c r="L97" i="4"/>
  <c r="J97" i="4"/>
  <c r="M97" i="4"/>
  <c r="N97" i="4"/>
  <c r="K97" i="4"/>
  <c r="I96" i="4"/>
  <c r="F96" i="4"/>
  <c r="L96" i="4"/>
  <c r="J96" i="4"/>
  <c r="M96" i="4"/>
  <c r="N96" i="4"/>
  <c r="K96" i="4"/>
  <c r="I95" i="4"/>
  <c r="F95" i="4"/>
  <c r="L95" i="4"/>
  <c r="J95" i="4"/>
  <c r="M95" i="4"/>
  <c r="N95" i="4"/>
  <c r="K95" i="4"/>
  <c r="I94" i="4"/>
  <c r="F94" i="4"/>
  <c r="L94" i="4"/>
  <c r="J94" i="4"/>
  <c r="M94" i="4"/>
  <c r="N94" i="4"/>
  <c r="K94" i="4"/>
  <c r="I93" i="4"/>
  <c r="F93" i="4"/>
  <c r="L93" i="4"/>
  <c r="J93" i="4"/>
  <c r="M93" i="4"/>
  <c r="N93" i="4"/>
  <c r="K93" i="4"/>
  <c r="I92" i="4"/>
  <c r="F92" i="4"/>
  <c r="L92" i="4"/>
  <c r="J92" i="4"/>
  <c r="M92" i="4"/>
  <c r="N92" i="4"/>
  <c r="K92" i="4"/>
  <c r="I91" i="4"/>
  <c r="F91" i="4"/>
  <c r="L91" i="4"/>
  <c r="J91" i="4"/>
  <c r="M91" i="4"/>
  <c r="N91" i="4"/>
  <c r="K91" i="4"/>
  <c r="I90" i="4"/>
  <c r="F90" i="4"/>
  <c r="L90" i="4"/>
  <c r="J90" i="4"/>
  <c r="M90" i="4"/>
  <c r="N90" i="4"/>
  <c r="K90" i="4"/>
  <c r="I89" i="4"/>
  <c r="F89" i="4"/>
  <c r="L89" i="4"/>
  <c r="J89" i="4"/>
  <c r="M89" i="4"/>
  <c r="N89" i="4"/>
  <c r="K89" i="4"/>
  <c r="I88" i="4"/>
  <c r="F88" i="4"/>
  <c r="L88" i="4"/>
  <c r="J88" i="4"/>
  <c r="M88" i="4"/>
  <c r="N88" i="4"/>
  <c r="K88" i="4"/>
  <c r="I87" i="4"/>
  <c r="F87" i="4"/>
  <c r="L87" i="4"/>
  <c r="J87" i="4"/>
  <c r="M87" i="4"/>
  <c r="N87" i="4"/>
  <c r="K87" i="4"/>
  <c r="I86" i="4"/>
  <c r="F86" i="4"/>
  <c r="L86" i="4"/>
  <c r="J86" i="4"/>
  <c r="M86" i="4"/>
  <c r="N86" i="4"/>
  <c r="K86" i="4"/>
  <c r="I85" i="4"/>
  <c r="F85" i="4"/>
  <c r="L85" i="4"/>
  <c r="J85" i="4"/>
  <c r="M85" i="4"/>
  <c r="N85" i="4"/>
  <c r="K85" i="4"/>
  <c r="I84" i="4"/>
  <c r="F84" i="4"/>
  <c r="L84" i="4"/>
  <c r="J84" i="4"/>
  <c r="M84" i="4"/>
  <c r="N84" i="4"/>
  <c r="K84" i="4"/>
  <c r="I83" i="4"/>
  <c r="F83" i="4"/>
  <c r="L83" i="4"/>
  <c r="J83" i="4"/>
  <c r="M83" i="4"/>
  <c r="N83" i="4"/>
  <c r="K83" i="4"/>
  <c r="I82" i="4"/>
  <c r="F82" i="4"/>
  <c r="L82" i="4"/>
  <c r="J82" i="4"/>
  <c r="M82" i="4"/>
  <c r="N82" i="4"/>
  <c r="K82" i="4"/>
  <c r="I81" i="4"/>
  <c r="F81" i="4"/>
  <c r="L81" i="4"/>
  <c r="J81" i="4"/>
  <c r="M81" i="4"/>
  <c r="N81" i="4"/>
  <c r="K81" i="4"/>
  <c r="I80" i="4"/>
  <c r="F80" i="4"/>
  <c r="L80" i="4"/>
  <c r="J80" i="4"/>
  <c r="M80" i="4"/>
  <c r="N80" i="4"/>
  <c r="K80" i="4"/>
  <c r="I79" i="4"/>
  <c r="F79" i="4"/>
  <c r="L79" i="4"/>
  <c r="J79" i="4"/>
  <c r="M79" i="4"/>
  <c r="N79" i="4"/>
  <c r="K79" i="4"/>
  <c r="I78" i="4"/>
  <c r="F78" i="4"/>
  <c r="L78" i="4"/>
  <c r="J78" i="4"/>
  <c r="M78" i="4"/>
  <c r="N78" i="4"/>
  <c r="K78" i="4"/>
  <c r="I77" i="4"/>
  <c r="F77" i="4"/>
  <c r="L77" i="4"/>
  <c r="J77" i="4"/>
  <c r="M77" i="4"/>
  <c r="N77" i="4"/>
  <c r="K77" i="4"/>
  <c r="I76" i="4"/>
  <c r="F76" i="4"/>
  <c r="L76" i="4"/>
  <c r="J76" i="4"/>
  <c r="M76" i="4"/>
  <c r="N76" i="4"/>
  <c r="K76" i="4"/>
  <c r="I75" i="4"/>
  <c r="F75" i="4"/>
  <c r="L75" i="4"/>
  <c r="J75" i="4"/>
  <c r="M75" i="4"/>
  <c r="N75" i="4"/>
  <c r="K75" i="4"/>
  <c r="I74" i="4"/>
  <c r="F74" i="4"/>
  <c r="L74" i="4"/>
  <c r="J74" i="4"/>
  <c r="M74" i="4"/>
  <c r="N74" i="4"/>
  <c r="K74" i="4"/>
  <c r="I73" i="4"/>
  <c r="F73" i="4"/>
  <c r="L73" i="4"/>
  <c r="J73" i="4"/>
  <c r="M73" i="4"/>
  <c r="N73" i="4"/>
  <c r="K73" i="4"/>
  <c r="I72" i="4"/>
  <c r="F72" i="4"/>
  <c r="L72" i="4"/>
  <c r="J72" i="4"/>
  <c r="M72" i="4"/>
  <c r="N72" i="4"/>
  <c r="K72" i="4"/>
  <c r="I71" i="4"/>
  <c r="F71" i="4"/>
  <c r="L71" i="4"/>
  <c r="J71" i="4"/>
  <c r="M71" i="4"/>
  <c r="N71" i="4"/>
  <c r="K71" i="4"/>
  <c r="I70" i="4"/>
  <c r="F70" i="4"/>
  <c r="L70" i="4"/>
  <c r="J70" i="4"/>
  <c r="M70" i="4"/>
  <c r="N70" i="4"/>
  <c r="K70" i="4"/>
  <c r="I69" i="4"/>
  <c r="F69" i="4"/>
  <c r="L69" i="4"/>
  <c r="J69" i="4"/>
  <c r="M69" i="4"/>
  <c r="N69" i="4"/>
  <c r="K69" i="4"/>
  <c r="I68" i="4"/>
  <c r="F68" i="4"/>
  <c r="L68" i="4"/>
  <c r="J68" i="4"/>
  <c r="M68" i="4"/>
  <c r="N68" i="4"/>
  <c r="K68" i="4"/>
  <c r="I67" i="4"/>
  <c r="F67" i="4"/>
  <c r="L67" i="4"/>
  <c r="J67" i="4"/>
  <c r="M67" i="4"/>
  <c r="N67" i="4"/>
  <c r="K67" i="4"/>
  <c r="I66" i="4"/>
  <c r="F66" i="4"/>
  <c r="L66" i="4"/>
  <c r="J66" i="4"/>
  <c r="M66" i="4"/>
  <c r="N66" i="4"/>
  <c r="K66" i="4"/>
  <c r="I65" i="4"/>
  <c r="F65" i="4"/>
  <c r="L65" i="4"/>
  <c r="J65" i="4"/>
  <c r="M65" i="4"/>
  <c r="N65" i="4"/>
  <c r="K65" i="4"/>
  <c r="I64" i="4"/>
  <c r="F64" i="4"/>
  <c r="L64" i="4"/>
  <c r="J64" i="4"/>
  <c r="M64" i="4"/>
  <c r="N64" i="4"/>
  <c r="K64" i="4"/>
  <c r="I63" i="4"/>
  <c r="F63" i="4"/>
  <c r="L63" i="4"/>
  <c r="J63" i="4"/>
  <c r="M63" i="4"/>
  <c r="N63" i="4"/>
  <c r="K63" i="4"/>
  <c r="I62" i="4"/>
  <c r="F62" i="4"/>
  <c r="L62" i="4"/>
  <c r="J62" i="4"/>
  <c r="M62" i="4"/>
  <c r="N62" i="4"/>
  <c r="K62" i="4"/>
  <c r="I61" i="4"/>
  <c r="F61" i="4"/>
  <c r="L61" i="4"/>
  <c r="J61" i="4"/>
  <c r="M61" i="4"/>
  <c r="N61" i="4"/>
  <c r="K61" i="4"/>
  <c r="I60" i="4"/>
  <c r="F60" i="4"/>
  <c r="L60" i="4"/>
  <c r="J60" i="4"/>
  <c r="M60" i="4"/>
  <c r="N60" i="4"/>
  <c r="K60" i="4"/>
  <c r="I59" i="4"/>
  <c r="F59" i="4"/>
  <c r="L59" i="4"/>
  <c r="J59" i="4"/>
  <c r="M59" i="4"/>
  <c r="N59" i="4"/>
  <c r="K59" i="4"/>
  <c r="I58" i="4"/>
  <c r="F58" i="4"/>
  <c r="L58" i="4"/>
  <c r="J58" i="4"/>
  <c r="M58" i="4"/>
  <c r="N58" i="4"/>
  <c r="K58" i="4"/>
  <c r="I57" i="4"/>
  <c r="F57" i="4"/>
  <c r="L57" i="4"/>
  <c r="J57" i="4"/>
  <c r="M57" i="4"/>
  <c r="N57" i="4"/>
  <c r="K57" i="4"/>
  <c r="I56" i="4"/>
  <c r="F56" i="4"/>
  <c r="L56" i="4"/>
  <c r="J56" i="4"/>
  <c r="M56" i="4"/>
  <c r="N56" i="4"/>
  <c r="K56" i="4"/>
  <c r="I55" i="4"/>
  <c r="F55" i="4"/>
  <c r="L55" i="4"/>
  <c r="J55" i="4"/>
  <c r="M55" i="4"/>
  <c r="N55" i="4"/>
  <c r="K55" i="4"/>
  <c r="I54" i="4"/>
  <c r="F54" i="4"/>
  <c r="L54" i="4"/>
  <c r="J54" i="4"/>
  <c r="M54" i="4"/>
  <c r="N54" i="4"/>
  <c r="K54" i="4"/>
  <c r="I53" i="4"/>
  <c r="F53" i="4"/>
  <c r="L53" i="4"/>
  <c r="J53" i="4"/>
  <c r="M53" i="4"/>
  <c r="N53" i="4"/>
  <c r="K53" i="4"/>
  <c r="I52" i="4"/>
  <c r="F52" i="4"/>
  <c r="L52" i="4"/>
  <c r="J52" i="4"/>
  <c r="M52" i="4"/>
  <c r="N52" i="4"/>
  <c r="K52" i="4"/>
  <c r="I51" i="4"/>
  <c r="F51" i="4"/>
  <c r="L51" i="4"/>
  <c r="J51" i="4"/>
  <c r="M51" i="4"/>
  <c r="N51" i="4"/>
  <c r="K51" i="4"/>
  <c r="I50" i="4"/>
  <c r="F50" i="4"/>
  <c r="L50" i="4"/>
  <c r="J50" i="4"/>
  <c r="M50" i="4"/>
  <c r="N50" i="4"/>
  <c r="K50" i="4"/>
  <c r="I49" i="4"/>
  <c r="F49" i="4"/>
  <c r="L49" i="4"/>
  <c r="J49" i="4"/>
  <c r="M49" i="4"/>
  <c r="N49" i="4"/>
  <c r="K49" i="4"/>
  <c r="I48" i="4"/>
  <c r="F48" i="4"/>
  <c r="L48" i="4"/>
  <c r="J48" i="4"/>
  <c r="M48" i="4"/>
  <c r="N48" i="4"/>
  <c r="K48" i="4"/>
  <c r="I47" i="4"/>
  <c r="F47" i="4"/>
  <c r="L47" i="4"/>
  <c r="J47" i="4"/>
  <c r="M47" i="4"/>
  <c r="N47" i="4"/>
  <c r="K47" i="4"/>
  <c r="I46" i="4"/>
  <c r="F46" i="4"/>
  <c r="L46" i="4"/>
  <c r="J46" i="4"/>
  <c r="M46" i="4"/>
  <c r="N46" i="4"/>
  <c r="K46" i="4"/>
  <c r="I45" i="4"/>
  <c r="F45" i="4"/>
  <c r="L45" i="4"/>
  <c r="J45" i="4"/>
  <c r="M45" i="4"/>
  <c r="N45" i="4"/>
  <c r="K45" i="4"/>
  <c r="I44" i="4"/>
  <c r="F44" i="4"/>
  <c r="L44" i="4"/>
  <c r="J44" i="4"/>
  <c r="M44" i="4"/>
  <c r="N44" i="4"/>
  <c r="K44" i="4"/>
  <c r="I43" i="4"/>
  <c r="F43" i="4"/>
  <c r="L43" i="4"/>
  <c r="J43" i="4"/>
  <c r="M43" i="4"/>
  <c r="N43" i="4"/>
  <c r="K43" i="4"/>
  <c r="I42" i="4"/>
  <c r="F42" i="4"/>
  <c r="L42" i="4"/>
  <c r="J42" i="4"/>
  <c r="M42" i="4"/>
  <c r="N42" i="4"/>
  <c r="K42" i="4"/>
  <c r="I41" i="4"/>
  <c r="F41" i="4"/>
  <c r="L41" i="4"/>
  <c r="J41" i="4"/>
  <c r="M41" i="4"/>
  <c r="N41" i="4"/>
  <c r="K41" i="4"/>
  <c r="I40" i="4"/>
  <c r="F40" i="4"/>
  <c r="L40" i="4"/>
  <c r="J40" i="4"/>
  <c r="M40" i="4"/>
  <c r="N40" i="4"/>
  <c r="K40" i="4"/>
  <c r="I39" i="4"/>
  <c r="F39" i="4"/>
  <c r="L39" i="4"/>
  <c r="J39" i="4"/>
  <c r="M39" i="4"/>
  <c r="N39" i="4"/>
  <c r="K39" i="4"/>
  <c r="I38" i="4"/>
  <c r="F38" i="4"/>
  <c r="L38" i="4"/>
  <c r="J38" i="4"/>
  <c r="M38" i="4"/>
  <c r="N38" i="4"/>
  <c r="K38" i="4"/>
  <c r="I37" i="4"/>
  <c r="F37" i="4"/>
  <c r="L37" i="4"/>
  <c r="J37" i="4"/>
  <c r="M37" i="4"/>
  <c r="N37" i="4"/>
  <c r="K37" i="4"/>
  <c r="I36" i="4"/>
  <c r="F36" i="4"/>
  <c r="L36" i="4"/>
  <c r="J36" i="4"/>
  <c r="M36" i="4"/>
  <c r="N36" i="4"/>
  <c r="K36" i="4"/>
  <c r="I35" i="4"/>
  <c r="F35" i="4"/>
  <c r="L35" i="4"/>
  <c r="J35" i="4"/>
  <c r="M35" i="4"/>
  <c r="N35" i="4"/>
  <c r="K35" i="4"/>
  <c r="I34" i="4"/>
  <c r="F34" i="4"/>
  <c r="L34" i="4"/>
  <c r="J34" i="4"/>
  <c r="M34" i="4"/>
  <c r="N34" i="4"/>
  <c r="K34" i="4"/>
  <c r="I33" i="4"/>
  <c r="F33" i="4"/>
  <c r="L33" i="4"/>
  <c r="J33" i="4"/>
  <c r="M33" i="4"/>
  <c r="N33" i="4"/>
  <c r="K33" i="4"/>
  <c r="I32" i="4"/>
  <c r="F32" i="4"/>
  <c r="L32" i="4"/>
  <c r="J32" i="4"/>
  <c r="M32" i="4"/>
  <c r="N32" i="4"/>
  <c r="K32" i="4"/>
  <c r="I31" i="4"/>
  <c r="F31" i="4"/>
  <c r="L31" i="4"/>
  <c r="J31" i="4"/>
  <c r="M31" i="4"/>
  <c r="N31" i="4"/>
  <c r="K31" i="4"/>
  <c r="I30" i="4"/>
  <c r="F30" i="4"/>
  <c r="L30" i="4"/>
  <c r="J30" i="4"/>
  <c r="M30" i="4"/>
  <c r="N30" i="4"/>
  <c r="K30" i="4"/>
  <c r="I29" i="4"/>
  <c r="F29" i="4"/>
  <c r="L29" i="4"/>
  <c r="J29" i="4"/>
  <c r="M29" i="4"/>
  <c r="N29" i="4"/>
  <c r="K29" i="4"/>
  <c r="I28" i="4"/>
  <c r="F28" i="4"/>
  <c r="L28" i="4"/>
  <c r="J28" i="4"/>
  <c r="M28" i="4"/>
  <c r="N28" i="4"/>
  <c r="K28" i="4"/>
  <c r="I27" i="4"/>
  <c r="F27" i="4"/>
  <c r="L27" i="4"/>
  <c r="J27" i="4"/>
  <c r="M27" i="4"/>
  <c r="N27" i="4"/>
  <c r="K27" i="4"/>
  <c r="I26" i="4"/>
  <c r="F26" i="4"/>
  <c r="L26" i="4"/>
  <c r="J26" i="4"/>
  <c r="M26" i="4"/>
  <c r="N26" i="4"/>
  <c r="K26" i="4"/>
  <c r="I25" i="4"/>
  <c r="F25" i="4"/>
  <c r="L25" i="4"/>
  <c r="J25" i="4"/>
  <c r="M25" i="4"/>
  <c r="N25" i="4"/>
  <c r="K25" i="4"/>
  <c r="I24" i="4"/>
  <c r="F24" i="4"/>
  <c r="L24" i="4"/>
  <c r="J24" i="4"/>
  <c r="M24" i="4"/>
  <c r="N24" i="4"/>
  <c r="K24" i="4"/>
  <c r="I23" i="4"/>
  <c r="F23" i="4"/>
  <c r="L23" i="4"/>
  <c r="J23" i="4"/>
  <c r="M23" i="4"/>
  <c r="N23" i="4"/>
  <c r="K23" i="4"/>
  <c r="I22" i="4"/>
  <c r="F22" i="4"/>
  <c r="L22" i="4"/>
  <c r="J22" i="4"/>
  <c r="M22" i="4"/>
  <c r="N22" i="4"/>
  <c r="K22" i="4"/>
  <c r="I21" i="4"/>
  <c r="F21" i="4"/>
  <c r="L21" i="4"/>
  <c r="J21" i="4"/>
  <c r="M21" i="4"/>
  <c r="N21" i="4"/>
  <c r="K21" i="4"/>
  <c r="I20" i="4"/>
  <c r="F20" i="4"/>
  <c r="L20" i="4"/>
  <c r="J20" i="4"/>
  <c r="M20" i="4"/>
  <c r="N20" i="4"/>
  <c r="K20" i="4"/>
  <c r="I19" i="4"/>
  <c r="F19" i="4"/>
  <c r="L19" i="4"/>
  <c r="J19" i="4"/>
  <c r="M19" i="4"/>
  <c r="N19" i="4"/>
  <c r="K19" i="4"/>
  <c r="I18" i="4"/>
  <c r="F18" i="4"/>
  <c r="L18" i="4"/>
  <c r="J18" i="4"/>
  <c r="M18" i="4"/>
  <c r="N18" i="4"/>
  <c r="K18" i="4"/>
  <c r="I17" i="4"/>
  <c r="F17" i="4"/>
  <c r="L17" i="4"/>
  <c r="J17" i="4"/>
  <c r="M17" i="4"/>
  <c r="N17" i="4"/>
  <c r="K17" i="4"/>
  <c r="I16" i="4"/>
  <c r="F16" i="4"/>
  <c r="L16" i="4"/>
  <c r="J16" i="4"/>
  <c r="M16" i="4"/>
  <c r="N16" i="4"/>
  <c r="K16" i="4"/>
  <c r="I15" i="4"/>
  <c r="F15" i="4"/>
  <c r="L15" i="4"/>
  <c r="J15" i="4"/>
  <c r="M15" i="4"/>
  <c r="N15" i="4"/>
  <c r="K15" i="4"/>
  <c r="I14" i="4"/>
  <c r="F14" i="4"/>
  <c r="L14" i="4"/>
  <c r="J14" i="4"/>
  <c r="M14" i="4"/>
  <c r="N14" i="4"/>
  <c r="K14" i="4"/>
  <c r="I13" i="4"/>
  <c r="F13" i="4"/>
  <c r="L13" i="4"/>
  <c r="J13" i="4"/>
  <c r="M13" i="4"/>
  <c r="N13" i="4"/>
  <c r="K13" i="4"/>
  <c r="I12" i="4"/>
  <c r="F12" i="4"/>
  <c r="L12" i="4"/>
  <c r="J12" i="4"/>
  <c r="M12" i="4"/>
  <c r="N12" i="4"/>
  <c r="K12" i="4"/>
  <c r="I11" i="4"/>
  <c r="F11" i="4"/>
  <c r="L11" i="4"/>
  <c r="J11" i="4"/>
  <c r="M11" i="4"/>
  <c r="N11" i="4"/>
  <c r="K11" i="4"/>
  <c r="I10" i="4"/>
  <c r="F10" i="4"/>
  <c r="L10" i="4"/>
  <c r="J10" i="4"/>
  <c r="M10" i="4"/>
  <c r="N10" i="4"/>
  <c r="K10" i="4"/>
  <c r="I9" i="4"/>
  <c r="F9" i="4"/>
  <c r="L9" i="4"/>
  <c r="J9" i="4"/>
  <c r="M9" i="4"/>
  <c r="N9" i="4"/>
  <c r="K9" i="4"/>
  <c r="I8" i="4"/>
  <c r="F8" i="4"/>
  <c r="L8" i="4"/>
  <c r="J8" i="4"/>
  <c r="M8" i="4"/>
  <c r="N8" i="4"/>
  <c r="K8" i="4"/>
  <c r="I7" i="4"/>
  <c r="F7" i="4"/>
  <c r="L7" i="4"/>
  <c r="J7" i="4"/>
  <c r="M7" i="4"/>
  <c r="N7" i="4"/>
  <c r="K7" i="4"/>
  <c r="I6" i="4"/>
  <c r="F6" i="4"/>
  <c r="L6" i="4"/>
  <c r="J6" i="4"/>
  <c r="M6" i="4"/>
  <c r="N6" i="4"/>
  <c r="K6" i="4"/>
  <c r="I5" i="4"/>
  <c r="F5" i="4"/>
  <c r="L5" i="4"/>
  <c r="J5" i="4"/>
  <c r="M5" i="4"/>
  <c r="N5" i="4"/>
  <c r="K5" i="4"/>
  <c r="I4" i="4"/>
  <c r="F4" i="4"/>
  <c r="L4" i="4"/>
  <c r="J4" i="4"/>
  <c r="M4" i="4"/>
  <c r="N4" i="4"/>
  <c r="K4" i="4"/>
  <c r="I3" i="4"/>
  <c r="F3" i="4"/>
  <c r="L3" i="4"/>
  <c r="J3" i="4"/>
  <c r="M3" i="4"/>
  <c r="N3" i="4"/>
  <c r="K3" i="4"/>
  <c r="I2" i="4"/>
  <c r="F2" i="4"/>
  <c r="L2" i="4"/>
  <c r="J2" i="4"/>
  <c r="M2" i="4"/>
  <c r="N2" i="4"/>
  <c r="K2" i="4"/>
</calcChain>
</file>

<file path=xl/connections.xml><?xml version="1.0" encoding="utf-8"?>
<connections xmlns="http://schemas.openxmlformats.org/spreadsheetml/2006/main">
  <connection id="1" name="all" type="6" refreshedVersion="0" background="1">
    <textPr prompt="0" fileType="mac" sourceFile="http://finance.sponser.co.il/finance/indices/all.php">
      <textFields>
        <textField/>
      </textFields>
    </textPr>
  </connection>
  <connection id="2" name="all1" type="6" refreshedVersion="0" background="1">
    <textPr prompt="0" fileType="mac" sourceFile="http://finance.sponser.co.il/finance/indices/all.php">
      <textFields>
        <textField/>
      </textFields>
    </textPr>
  </connection>
  <connection id="3" name="all2" type="6" refreshedVersion="0" background="1">
    <textPr prompt="0" fileType="mac" sourceFile="http://finance.sponser.co.il/finance/indices/all.php">
      <textFields>
        <textField/>
      </textFields>
    </textPr>
  </connection>
  <connection id="4" name="all3" type="6" refreshedVersion="0" background="1">
    <textPr prompt="0" fileType="mac" sourceFile="http://finance.sponser.co.il/finance/indices/all.php">
      <textFields>
        <textField/>
      </textFields>
    </textPr>
  </connection>
  <connection id="5" name="all4" type="6" refreshedVersion="0" background="1">
    <textPr prompt="0" fileType="mac" sourceFile="http://finance.sponser.co.il/finance/indices/all.php">
      <textFields>
        <textField/>
      </textFields>
    </textPr>
  </connection>
  <connection id="6" name="all5" type="6" refreshedVersion="0" background="1">
    <textPr prompt="0" fileType="mac" sourceFile="http://finance.sponser.co.il/finance/indices/all.php">
      <textFields>
        <textField/>
      </textFields>
    </textPr>
  </connection>
  <connection id="7" name="Connection" type="4" refreshedVersion="0" background="1" saveData="1">
    <webPr url="http://finance.sponser.co.il/finance/indices/all.php" htmlTables="1" htmlFormat="all"/>
  </connection>
  <connection id="8" name="Connection1" type="4" refreshedVersion="0" background="1">
    <webPr url="http://finance.sponser.co.il/finance/indices/all.php" htmlTables="1" htmlFormat="all"/>
  </connection>
  <connection id="9" name="Connection2" type="4" refreshedVersion="0" background="1" saveData="1">
    <webPr url="http://finance.sponser.co.il/finance/indices/all.php" htmlTables="1" htmlFormat="all"/>
  </connection>
</connections>
</file>

<file path=xl/sharedStrings.xml><?xml version="1.0" encoding="utf-8"?>
<sst xmlns="http://schemas.openxmlformats.org/spreadsheetml/2006/main" count="602" uniqueCount="462">
  <si>
    <t>בחר מדד לצפיה</t>
  </si>
  <si>
    <t>שם נייר</t>
  </si>
  <si>
    <t>שער אחרון</t>
  </si>
  <si>
    <t>אחוז שינוי</t>
  </si>
  <si>
    <t>תמורה באלפים</t>
  </si>
  <si>
    <t>תשואה השבוע</t>
  </si>
  <si>
    <t>תשואה החודש</t>
  </si>
  <si>
    <t>תשואה השנה</t>
  </si>
  <si>
    <t>זמן עדכון</t>
  </si>
  <si>
    <t>טיב טעם</t>
  </si>
  <si>
    <t>אביב ארלון</t>
  </si>
  <si>
    <t>גזית גלוב</t>
  </si>
  <si>
    <t>מבטח שמיר</t>
  </si>
  <si>
    <t>זנלכל</t>
  </si>
  <si>
    <t>מקסימה</t>
  </si>
  <si>
    <t>להב</t>
  </si>
  <si>
    <t>תדאה</t>
  </si>
  <si>
    <t>גולד</t>
  </si>
  <si>
    <t>חירון</t>
  </si>
  <si>
    <t>מנרב</t>
  </si>
  <si>
    <t>מלם תים</t>
  </si>
  <si>
    <t>וואן טכנולוגיות</t>
  </si>
  <si>
    <t>נטו אחזקות</t>
  </si>
  <si>
    <t>פורמולה ויז'ן</t>
  </si>
  <si>
    <t>אינטרגאמא</t>
  </si>
  <si>
    <t>איביאי בית השק</t>
  </si>
  <si>
    <t>אנגל שלמה</t>
  </si>
  <si>
    <t>כלכלית ירושלים</t>
  </si>
  <si>
    <t>פורסייט</t>
  </si>
  <si>
    <t>לוינסקי עופר</t>
  </si>
  <si>
    <t>נאוי</t>
  </si>
  <si>
    <t>וויטסמוק</t>
  </si>
  <si>
    <t>וויז פארמה</t>
  </si>
  <si>
    <t>כלל עסקי ביטוח</t>
  </si>
  <si>
    <t>מבני תעשיה</t>
  </si>
  <si>
    <t>בזק</t>
  </si>
  <si>
    <t>ישראמקו יהש</t>
  </si>
  <si>
    <t>בית הזהב</t>
  </si>
  <si>
    <t>ממן</t>
  </si>
  <si>
    <t>סלקט ביו</t>
  </si>
  <si>
    <t>חנל יהש</t>
  </si>
  <si>
    <t>אשטרום נכסים</t>
  </si>
  <si>
    <t>מדטכניקה</t>
  </si>
  <si>
    <t>פורמולה מערכות</t>
  </si>
  <si>
    <t>מרחביה אחזקות</t>
  </si>
  <si>
    <t>תדיראן הולדינגס</t>
  </si>
  <si>
    <t>אורביט</t>
  </si>
  <si>
    <t>רובוגרופ</t>
  </si>
  <si>
    <t>אבנר יהש</t>
  </si>
  <si>
    <t>קו מנחה</t>
  </si>
  <si>
    <t>נייס</t>
  </si>
  <si>
    <t>נפטא חיפוש יהש</t>
  </si>
  <si>
    <t>פנטזי נטוורק</t>
  </si>
  <si>
    <t>קסטרו</t>
  </si>
  <si>
    <t>כיל</t>
  </si>
  <si>
    <t>אימקו</t>
  </si>
  <si>
    <t>ברן</t>
  </si>
  <si>
    <t>סקופ</t>
  </si>
  <si>
    <t>תעוזה</t>
  </si>
  <si>
    <t>אברות</t>
  </si>
  <si>
    <t>אראסאל</t>
  </si>
  <si>
    <t>ארקו החזקות</t>
  </si>
  <si>
    <t>עשות</t>
  </si>
  <si>
    <t>אספן גרופ</t>
  </si>
  <si>
    <t>דנאל כא</t>
  </si>
  <si>
    <t>פמס</t>
  </si>
  <si>
    <t>לידר השקעות</t>
  </si>
  <si>
    <t>מליסרון</t>
  </si>
  <si>
    <t>פריורטק</t>
  </si>
  <si>
    <t>פנינסולה</t>
  </si>
  <si>
    <t>מר</t>
  </si>
  <si>
    <t>שפע ימים</t>
  </si>
  <si>
    <t>צאם</t>
  </si>
  <si>
    <t>מודיעין יהש</t>
  </si>
  <si>
    <t>ויז'ן סיגמא</t>
  </si>
  <si>
    <t>חד</t>
  </si>
  <si>
    <t>טלסיס</t>
  </si>
  <si>
    <t>אפליי</t>
  </si>
  <si>
    <t>איאסאראר</t>
  </si>
  <si>
    <t>ארנה גרופ</t>
  </si>
  <si>
    <t>ביומדיקס</t>
  </si>
  <si>
    <t>וילי פוד</t>
  </si>
  <si>
    <t>אאורה</t>
  </si>
  <si>
    <t>אמת</t>
  </si>
  <si>
    <t>חמת</t>
  </si>
  <si>
    <t>קווינקו</t>
  </si>
  <si>
    <t>אלרוב נדלן</t>
  </si>
  <si>
    <t>קופיקס גרופ</t>
  </si>
  <si>
    <t>אלוני חץ</t>
  </si>
  <si>
    <t>ראלקו</t>
  </si>
  <si>
    <t>רציו יהש</t>
  </si>
  <si>
    <t>בריל</t>
  </si>
  <si>
    <t>דוניץ</t>
  </si>
  <si>
    <t>קשרי תעופה</t>
  </si>
  <si>
    <t>וילאר</t>
  </si>
  <si>
    <t>נתנאל גרופ</t>
  </si>
  <si>
    <t>אסאר אקורד</t>
  </si>
  <si>
    <t>איתי פיננסים</t>
  </si>
  <si>
    <t>צרפתי</t>
  </si>
  <si>
    <t>אייאיאס</t>
  </si>
  <si>
    <t>מיקרומדיק</t>
  </si>
  <si>
    <t>ישראל קנדה</t>
  </si>
  <si>
    <t>כרמית</t>
  </si>
  <si>
    <t>סיאי</t>
  </si>
  <si>
    <t>אביב בניה</t>
  </si>
  <si>
    <t>מטריקס</t>
  </si>
  <si>
    <t>צנורות המזה"ת</t>
  </si>
  <si>
    <t>נץ קבוצה</t>
  </si>
  <si>
    <t>צירון</t>
  </si>
  <si>
    <t>ג'ובוקיט החזקות</t>
  </si>
  <si>
    <t>לוזון קבוצה</t>
  </si>
  <si>
    <t>אלביט מדקל טכ</t>
  </si>
  <si>
    <t>דלק קידוחים יהש</t>
  </si>
  <si>
    <t>טלדור</t>
  </si>
  <si>
    <t>בונוס ביוגרופ</t>
  </si>
  <si>
    <t>וויי בוקס</t>
  </si>
  <si>
    <t>גו.די.אם</t>
  </si>
  <si>
    <t>קולפלנט</t>
  </si>
  <si>
    <t>איידיאו</t>
  </si>
  <si>
    <t>גבעות יהש</t>
  </si>
  <si>
    <t>מיחשוב ישר קב</t>
  </si>
  <si>
    <t>כפרית</t>
  </si>
  <si>
    <t>רבד</t>
  </si>
  <si>
    <t>מעברות</t>
  </si>
  <si>
    <t>בירמן</t>
  </si>
  <si>
    <t>גן שמואל</t>
  </si>
  <si>
    <t>ברנד</t>
  </si>
  <si>
    <t>רוטשטיין</t>
  </si>
  <si>
    <t>כנפיים</t>
  </si>
  <si>
    <t>מידאס</t>
  </si>
  <si>
    <t>אסטיגי</t>
  </si>
  <si>
    <t>דלק אנרגיה</t>
  </si>
  <si>
    <t>מנורה מב החז</t>
  </si>
  <si>
    <t>לוינשטין הנדסה</t>
  </si>
  <si>
    <t>חברה לישראל</t>
  </si>
  <si>
    <t>אפקון החזקות</t>
  </si>
  <si>
    <t>יואל</t>
  </si>
  <si>
    <t>ליבנטל</t>
  </si>
  <si>
    <t>הראל השקעות</t>
  </si>
  <si>
    <t>ארית תעשיות</t>
  </si>
  <si>
    <t>אמיליה פיתוח</t>
  </si>
  <si>
    <t>בינלאומי</t>
  </si>
  <si>
    <t>פי.אל.טי פיננס</t>
  </si>
  <si>
    <t>אוהה</t>
  </si>
  <si>
    <t>לאומי</t>
  </si>
  <si>
    <t>אפריקה</t>
  </si>
  <si>
    <t>הכשרת הישוב</t>
  </si>
  <si>
    <t>ישרס</t>
  </si>
  <si>
    <t>קרור</t>
  </si>
  <si>
    <t>על בד</t>
  </si>
  <si>
    <t>דלתא</t>
  </si>
  <si>
    <t>טבע</t>
  </si>
  <si>
    <t>נייר חדרה</t>
  </si>
  <si>
    <t>שמן תעשיות</t>
  </si>
  <si>
    <t>דיסקונט השקעות</t>
  </si>
  <si>
    <t>לפידות</t>
  </si>
  <si>
    <t>נפטא</t>
  </si>
  <si>
    <t>פלרם</t>
  </si>
  <si>
    <t>אמנת</t>
  </si>
  <si>
    <t>ניסן</t>
  </si>
  <si>
    <t>פועלים</t>
  </si>
  <si>
    <t>נץ מלונות</t>
  </si>
  <si>
    <t>מטי</t>
  </si>
  <si>
    <t>תפן</t>
  </si>
  <si>
    <t>אברבוך</t>
  </si>
  <si>
    <t>דיסקונט א</t>
  </si>
  <si>
    <t>אלקו</t>
  </si>
  <si>
    <t>מזרחי טפחות</t>
  </si>
  <si>
    <t>נכסים ובנין</t>
  </si>
  <si>
    <t>יצוא</t>
  </si>
  <si>
    <t>דקסיה ישראל</t>
  </si>
  <si>
    <t>אזורים</t>
  </si>
  <si>
    <t>אנלייט אנרגיה</t>
  </si>
  <si>
    <t>אגוד</t>
  </si>
  <si>
    <t>נורסטאר</t>
  </si>
  <si>
    <t>ירושלים</t>
  </si>
  <si>
    <t>פלסטו שק</t>
  </si>
  <si>
    <t>צור</t>
  </si>
  <si>
    <t>ערד</t>
  </si>
  <si>
    <t>אלקטרה</t>
  </si>
  <si>
    <t>אלגומייזר</t>
  </si>
  <si>
    <t>שטראוס</t>
  </si>
  <si>
    <t>אלרון</t>
  </si>
  <si>
    <t>ננו דיימנשן</t>
  </si>
  <si>
    <t>לודזיה</t>
  </si>
  <si>
    <t>אקויטל</t>
  </si>
  <si>
    <t>פטרוכימיים</t>
  </si>
  <si>
    <t>גב ים</t>
  </si>
  <si>
    <t>פיבי</t>
  </si>
  <si>
    <t>כיטוב פארמה</t>
  </si>
  <si>
    <t>הפניקס</t>
  </si>
  <si>
    <t>רפק</t>
  </si>
  <si>
    <t>דולומיט אחזקות</t>
  </si>
  <si>
    <t>אנגל משאבים</t>
  </si>
  <si>
    <t>שופרסל</t>
  </si>
  <si>
    <t>תיא השקעות</t>
  </si>
  <si>
    <t>קליל</t>
  </si>
  <si>
    <t>כהן פיתוח</t>
  </si>
  <si>
    <t>סנו</t>
  </si>
  <si>
    <t>דן מלונות</t>
  </si>
  <si>
    <t>חג'ג'</t>
  </si>
  <si>
    <t>איי.די.אן</t>
  </si>
  <si>
    <t>לכיש</t>
  </si>
  <si>
    <t>דלק רכב</t>
  </si>
  <si>
    <t>משאבי טבע</t>
  </si>
  <si>
    <t>המלט</t>
  </si>
  <si>
    <t>רימוני</t>
  </si>
  <si>
    <t>סאטקום מערכות</t>
  </si>
  <si>
    <t>ספיץ'</t>
  </si>
  <si>
    <t>אנליסט</t>
  </si>
  <si>
    <t>אינפימר</t>
  </si>
  <si>
    <t>אילקס מדיקל</t>
  </si>
  <si>
    <t>שניב</t>
  </si>
  <si>
    <t>אינטר תעשיות</t>
  </si>
  <si>
    <t>חוף גיא</t>
  </si>
  <si>
    <t>ישרוטל</t>
  </si>
  <si>
    <t>רקח</t>
  </si>
  <si>
    <t>איסתא</t>
  </si>
  <si>
    <t>פרוטרום</t>
  </si>
  <si>
    <t>אלביט הדמיה</t>
  </si>
  <si>
    <t>אלביט מערכות</t>
  </si>
  <si>
    <t>מגדל ביטוח</t>
  </si>
  <si>
    <t>לודן</t>
  </si>
  <si>
    <t>בית שמש</t>
  </si>
  <si>
    <t>פלסאון תעשיות</t>
  </si>
  <si>
    <t>סאמיט</t>
  </si>
  <si>
    <t>מיטב דש</t>
  </si>
  <si>
    <t>שיכון ובינוי</t>
  </si>
  <si>
    <t>שוהם ביזנס</t>
  </si>
  <si>
    <t>מג'יק</t>
  </si>
  <si>
    <t>סקיילקס</t>
  </si>
  <si>
    <t>טאואר</t>
  </si>
  <si>
    <t>גילת</t>
  </si>
  <si>
    <t>תפרון</t>
  </si>
  <si>
    <t>אלומיי</t>
  </si>
  <si>
    <t>תאת טכנו</t>
  </si>
  <si>
    <t>אודיוקודס</t>
  </si>
  <si>
    <t>סיירן</t>
  </si>
  <si>
    <t>טכנופלס ונצרס</t>
  </si>
  <si>
    <t>אינטרנט זהב</t>
  </si>
  <si>
    <t>פרטנר</t>
  </si>
  <si>
    <t>נעמן</t>
  </si>
  <si>
    <t>פולאר תקשורת</t>
  </si>
  <si>
    <t>עילדב</t>
  </si>
  <si>
    <t>ביטוח ישיר</t>
  </si>
  <si>
    <t>יוניטרוניקס</t>
  </si>
  <si>
    <t>סייפ טי גרופ</t>
  </si>
  <si>
    <t>נקסט ג'ן</t>
  </si>
  <si>
    <t>קווליטאו</t>
  </si>
  <si>
    <t>אי.אל.די.</t>
  </si>
  <si>
    <t>דלק קבוצה</t>
  </si>
  <si>
    <t>פועלים איביאי</t>
  </si>
  <si>
    <t>נובה</t>
  </si>
  <si>
    <t>חילן</t>
  </si>
  <si>
    <t>סינאל</t>
  </si>
  <si>
    <t>סרגון</t>
  </si>
  <si>
    <t>קומפיוגן</t>
  </si>
  <si>
    <t>ארן</t>
  </si>
  <si>
    <t>אקס טי אל</t>
  </si>
  <si>
    <t>או.אר.טי</t>
  </si>
  <si>
    <t>פוקס</t>
  </si>
  <si>
    <t>סאפיינס</t>
  </si>
  <si>
    <t>אל על</t>
  </si>
  <si>
    <t>קרדן אן.וי.</t>
  </si>
  <si>
    <t>ספאנטק</t>
  </si>
  <si>
    <t>תדיר גן</t>
  </si>
  <si>
    <t>דמרי</t>
  </si>
  <si>
    <t>אלספק</t>
  </si>
  <si>
    <t>שלאג</t>
  </si>
  <si>
    <t>רם און</t>
  </si>
  <si>
    <t>מיטרוניקס</t>
  </si>
  <si>
    <t>לפידות חלץ יהש</t>
  </si>
  <si>
    <t>אפריקה נכסים</t>
  </si>
  <si>
    <t>ארד</t>
  </si>
  <si>
    <t>פיסיבי טכנ</t>
  </si>
  <si>
    <t>גולן פלסטיק</t>
  </si>
  <si>
    <t>עמיר שיווק</t>
  </si>
  <si>
    <t>חלל תקשורת</t>
  </si>
  <si>
    <t>בי.ג'י.איי</t>
  </si>
  <si>
    <t>פלסטופיל</t>
  </si>
  <si>
    <t>דור אלון</t>
  </si>
  <si>
    <t>די פארם</t>
  </si>
  <si>
    <t>אלקטרה נדלן</t>
  </si>
  <si>
    <t>קמהדע</t>
  </si>
  <si>
    <t>מיי סייז</t>
  </si>
  <si>
    <t>ברימאג</t>
  </si>
  <si>
    <t>כן פייט ביופרמה</t>
  </si>
  <si>
    <t>ברם תעשיות</t>
  </si>
  <si>
    <t>סוהו נדלן</t>
  </si>
  <si>
    <t>אופל בלאנס</t>
  </si>
  <si>
    <t>תראפיקס ביו</t>
  </si>
  <si>
    <t>ביולייט</t>
  </si>
  <si>
    <t>קמטק</t>
  </si>
  <si>
    <t>הדסית ביו</t>
  </si>
  <si>
    <t>נקסטקום</t>
  </si>
  <si>
    <t>פריון נטוורק</t>
  </si>
  <si>
    <t>ארפורט סיטי</t>
  </si>
  <si>
    <t>גניגר</t>
  </si>
  <si>
    <t>ביו ויו</t>
  </si>
  <si>
    <t>לידר שוקי הון</t>
  </si>
  <si>
    <t>גולף</t>
  </si>
  <si>
    <t>מדיגוס</t>
  </si>
  <si>
    <t>דורסל</t>
  </si>
  <si>
    <t>מדיקל</t>
  </si>
  <si>
    <t>בי.אס.פי</t>
  </si>
  <si>
    <t>קפיטל פוינט</t>
  </si>
  <si>
    <t>ב.יאיר</t>
  </si>
  <si>
    <t>ביג</t>
  </si>
  <si>
    <t>אמות</t>
  </si>
  <si>
    <t>ביי2 נטוורקס</t>
  </si>
  <si>
    <t>אפריקה מגורים</t>
  </si>
  <si>
    <t>רבוע נדלן</t>
  </si>
  <si>
    <t>סאנפלאואר</t>
  </si>
  <si>
    <t>ריט 1</t>
  </si>
  <si>
    <t>קסניה</t>
  </si>
  <si>
    <t>אלוט תקשורת</t>
  </si>
  <si>
    <t>מיקרונט</t>
  </si>
  <si>
    <t>פז נפט</t>
  </si>
  <si>
    <t>בריינסוויי</t>
  </si>
  <si>
    <t>אבגול</t>
  </si>
  <si>
    <t>אנדימד</t>
  </si>
  <si>
    <t>אליום מדיקל</t>
  </si>
  <si>
    <t>ביוליין</t>
  </si>
  <si>
    <t>סלקום</t>
  </si>
  <si>
    <t>בבילון</t>
  </si>
  <si>
    <t>פרשקובסקי</t>
  </si>
  <si>
    <t>פרידנזון</t>
  </si>
  <si>
    <t>סולגרין</t>
  </si>
  <si>
    <t>איתמר</t>
  </si>
  <si>
    <t>חנן מור</t>
  </si>
  <si>
    <t>אורתם סהר</t>
  </si>
  <si>
    <t>אוריין</t>
  </si>
  <si>
    <t>שנפ</t>
  </si>
  <si>
    <t>די.אן.איי ביומד</t>
  </si>
  <si>
    <t>רבל</t>
  </si>
  <si>
    <t>צמח המרמן</t>
  </si>
  <si>
    <t>רמי לוי</t>
  </si>
  <si>
    <t>כלל ביוטכנו</t>
  </si>
  <si>
    <t>אשדר</t>
  </si>
  <si>
    <t>מגה אור</t>
  </si>
  <si>
    <t>אורד</t>
  </si>
  <si>
    <t>חממה סחר</t>
  </si>
  <si>
    <t>אקסלנז</t>
  </si>
  <si>
    <t>המשביר 365</t>
  </si>
  <si>
    <t>תיגבור</t>
  </si>
  <si>
    <t>אבוג'ן</t>
  </si>
  <si>
    <t>נטו מלינדה</t>
  </si>
  <si>
    <t>אדרי אל</t>
  </si>
  <si>
    <t>מישורים</t>
  </si>
  <si>
    <t>ביונדווקס</t>
  </si>
  <si>
    <t>אינטרקיור</t>
  </si>
  <si>
    <t>מזור רובוטיקה</t>
  </si>
  <si>
    <t>בי קומיונקיישנס</t>
  </si>
  <si>
    <t>סלע נדלן</t>
  </si>
  <si>
    <t>פלאזה סנטר</t>
  </si>
  <si>
    <t>ויתניה</t>
  </si>
  <si>
    <t>תמיר נדלן</t>
  </si>
  <si>
    <t>אלון גז</t>
  </si>
  <si>
    <t>אינטק פארמ</t>
  </si>
  <si>
    <t>קרדן נדלן</t>
  </si>
  <si>
    <t>נאוסיטי</t>
  </si>
  <si>
    <t>לוינשטין נכסים</t>
  </si>
  <si>
    <t>עזריאלי קבוצה</t>
  </si>
  <si>
    <t>אפוסנס</t>
  </si>
  <si>
    <t>הזדמנות יהש</t>
  </si>
  <si>
    <t>אינסוליין</t>
  </si>
  <si>
    <t>פרוטליקס</t>
  </si>
  <si>
    <t>סודהסטרים</t>
  </si>
  <si>
    <t>הכשרה אלפא</t>
  </si>
  <si>
    <t>בראק אן וי</t>
  </si>
  <si>
    <t>פלוריסטם</t>
  </si>
  <si>
    <t>רדהיל</t>
  </si>
  <si>
    <t>אייסקיור מדיקל</t>
  </si>
  <si>
    <t>מדיוי</t>
  </si>
  <si>
    <t>לייבפרסון</t>
  </si>
  <si>
    <t>אנרג'יקס</t>
  </si>
  <si>
    <t>ויקטורי</t>
  </si>
  <si>
    <t>קרסו</t>
  </si>
  <si>
    <t>קרדן יזמות</t>
  </si>
  <si>
    <t>פוטומדקס</t>
  </si>
  <si>
    <t>ביוקנסל</t>
  </si>
  <si>
    <t>קדימהסטם</t>
  </si>
  <si>
    <t>מנדלסוןתשת</t>
  </si>
  <si>
    <t>סומוטו</t>
  </si>
  <si>
    <t>איידיאיי ביטוח</t>
  </si>
  <si>
    <t>אופקו הלת'</t>
  </si>
  <si>
    <t>פריגו</t>
  </si>
  <si>
    <t>מגדלי תיכון</t>
  </si>
  <si>
    <t>סקייליין</t>
  </si>
  <si>
    <t>מטומי</t>
  </si>
  <si>
    <t>אשטרום קבוצה</t>
  </si>
  <si>
    <t>אינרום</t>
  </si>
  <si>
    <t>שפיר הנדסה</t>
  </si>
  <si>
    <t>קנון</t>
  </si>
  <si>
    <t>אורמת טכנו</t>
  </si>
  <si>
    <t>מעין ונצ'רס ש</t>
  </si>
  <si>
    <t>אורון קבוצה</t>
  </si>
  <si>
    <t>נבידאה</t>
  </si>
  <si>
    <t>ביוטיים</t>
  </si>
  <si>
    <t>מנקיינד</t>
  </si>
  <si>
    <t>מיילן</t>
  </si>
  <si>
    <t>סלזיון</t>
  </si>
  <si>
    <t>אביליטי</t>
  </si>
  <si>
    <t>פוינטר</t>
  </si>
  <si>
    <t>שגריר</t>
  </si>
  <si>
    <t>וונטייז</t>
  </si>
  <si>
    <t>מגוריט</t>
  </si>
  <si>
    <t>קרדן ישראל</t>
  </si>
  <si>
    <t>אדגר</t>
  </si>
  <si>
    <t>בזן</t>
  </si>
  <si>
    <t>אלקטרה צריכה</t>
  </si>
  <si>
    <t>סאני</t>
  </si>
  <si>
    <t xml:space="preserve">כתבות שעשויות לעניין אותך </t>
  </si>
  <si>
    <t>בתקופה האחרונה ניתן להרגיש את המגמה מתחזקת, ואת המשקיעים שמצביעים ברגליים ועוברים לסחור בחו</t>
  </si>
  <si>
    <t xml:space="preserve">הבורסה הישראלית מתייבשת? זה הזמן לסחור בחו”ל </t>
  </si>
  <si>
    <t xml:space="preserve">יותר ויותר שכירים גילו בשנים האחרונות את האפשרות לקבלת החזרי מס על תשלומי יתר ששילמו במהלך השנים. כל הייעוץ, הטיפול ובדיקת הזכאות מתבצעים בחינם!
</t>
  </si>
  <si>
    <t xml:space="preserve">משקיע בבורסה? מגיעים לך החזרי מס בגין פעילות בשוק ההון </t>
  </si>
  <si>
    <t>איך בוחרים את הברוקר הטוב ביותר למסחר בבורסות חו</t>
  </si>
  <si>
    <t xml:space="preserve">סוחר בחו”ל? אלו האפשרויות שלך לעשות את זה כמו שצריך </t>
  </si>
  <si>
    <t>﻿</t>
  </si>
  <si>
    <t>מפת אתר</t>
  </si>
  <si>
    <r>
      <t>חדשות ספונסר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שוק ההון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כלכלה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חדשות אנליסטים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וול סטריט ושווקי העולם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נדל"ן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שיווק ופרסום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חוק ומשפט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מחשבים וטכנולוגיה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סקירות מאקרו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ניתוח טכני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הנפקות בוול סטריט</t>
    </r>
  </si>
  <si>
    <r>
      <t>פורומים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שוק ההון הישראלי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שוק ההון האמריקאי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מעו"ף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ניתוח טכני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ביומד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גז ונפט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תעודות סל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שווקים עולמיים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אג"ח ופונד'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Sponser alert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טאואר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נדל"ן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משכנתאות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פורום ספורט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כללי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גבעות עולם</t>
    </r>
  </si>
  <si>
    <r>
      <t>קורסים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ניתוח טכני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הכשרת סוחרים בוול סטריט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הכרות שוק ההון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אופציות מעוף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השקעות ערך</t>
    </r>
  </si>
  <si>
    <r>
      <t>סקירה שבועית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ניתוח מדדים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ניתוח מניות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על רגל אחת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מדד ספונסר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ארכיון סקירות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חדשות היום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חדשות השבוע</t>
    </r>
  </si>
  <si>
    <r>
      <t>נתוני מסחר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ציטוטי מניות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הרכב מדדים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כתבי אופציה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מט"ח וסחורות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שווקים עולמיים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מדדי אג"ח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מניות בשימור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מניות דלי סחירות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מניות גז ונפט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קרנות נאמנות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אג"ח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נגזרים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תעודות סל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ישראליות בניו-יורק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פערי ארביטראז'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ארביטראז' 75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שערים יציגים</t>
    </r>
  </si>
  <si>
    <r>
      <t>כלים למשקיע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תיק אישי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ניוזלטרים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עכשיו בספונסר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ניהול עקוב אחרי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לייקים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מועדון משקיעים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המלצות אנליסטים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מדד מעו"ף גלום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גרף חוזים בזמן אמת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יומן כלכלי עולמי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שווי הוגן – תעודות סל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מתארחים בספונסר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מדריך שוק ההון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ספונסר בסלולר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ערוצי RSS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מחשבון אחוזים</t>
    </r>
  </si>
  <si>
    <r>
      <t>אודות ספונסר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אודות האתר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פרסמו אצלנו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הוסף למועדפים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הפוך לדף הבית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גולשים כותבים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קישורים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תקנון האתר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צור קשר</t>
    </r>
  </si>
  <si>
    <t>שרותי האתר</t>
  </si>
  <si>
    <r>
      <t>שירותי ספונסר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הטבת עמלות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שירות איתותים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שירות איתותים USA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קורסים בשוק ההון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תוכנה לניתוח טכני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ניוזלטר יומי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מועדון משקיעים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ערוצי RSS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אפליקציית ספונסר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החזרי מס</t>
    </r>
    <r>
      <rPr>
        <sz val="11"/>
        <color rgb="FF000000"/>
        <rFont val="Arial"/>
      </rPr>
      <t xml:space="preserve"> </t>
    </r>
    <r>
      <rPr>
        <sz val="12"/>
        <color rgb="FF000000"/>
        <rFont val="Arial"/>
      </rPr>
      <t>תקנון האתר</t>
    </r>
  </si>
  <si>
    <r>
      <t xml:space="preserve">developed by </t>
    </r>
    <r>
      <rPr>
        <u/>
        <sz val="11"/>
        <color rgb="FFFFFFFF"/>
        <rFont val="Arial"/>
      </rPr>
      <t>Smart</t>
    </r>
    <r>
      <rPr>
        <sz val="11"/>
        <color rgb="FF000000"/>
        <rFont val="Arial"/>
      </rPr>
      <t xml:space="preserve">  designed by </t>
    </r>
    <r>
      <rPr>
        <u/>
        <sz val="11"/>
        <color rgb="FFFFFFFF"/>
        <rFont val="Arial"/>
      </rPr>
      <t>odedLAB</t>
    </r>
  </si>
  <si>
    <t>כל הזכויות שמורות לספונסר © 2016</t>
  </si>
  <si>
    <t xml:space="preserve"> אין בסקירה זו משום המלצה לקנות את הנייר או למוכרו והעושה זאת פועל על סמך שיקול דעתו בלבד.</t>
  </si>
  <si>
    <t xml:space="preserve"> אין לשכפל, להעתיק, לתרגם, לצלם, להקליט או להעביר בכל צורה שהיא כל חלק מן החומר אלא באישור מפורש בכתב מן המחבר.</t>
  </si>
  <si>
    <t xml:space="preserve"> האתר מתאים לצפיה ברזולוציה 1024x768</t>
  </si>
  <si>
    <t xml:space="preserve"> נתונים בורסאיים מסופקים ע"י גלובס</t>
  </si>
  <si>
    <t>גדכדגכ</t>
  </si>
  <si>
    <t>#</t>
  </si>
  <si>
    <t>date buy</t>
  </si>
  <si>
    <t>buy</t>
  </si>
  <si>
    <t>number of shares</t>
  </si>
  <si>
    <t>pay</t>
  </si>
  <si>
    <t>date sell</t>
  </si>
  <si>
    <t>total</t>
  </si>
  <si>
    <t>gain/loss</t>
  </si>
  <si>
    <t>%</t>
  </si>
  <si>
    <t>commission in sell</t>
  </si>
  <si>
    <t>tax</t>
  </si>
  <si>
    <t>total gain</t>
  </si>
  <si>
    <t>כן פייט ביואפ11</t>
  </si>
  <si>
    <t>פטרוכימיים אגח1</t>
  </si>
  <si>
    <t>קס.ממ3.דקסחודש</t>
  </si>
  <si>
    <t>קס.חז.נפט.ש</t>
  </si>
  <si>
    <t>קס.ממ2חס.ת25</t>
  </si>
  <si>
    <t>קס.ממחס3.דקסחוד</t>
  </si>
  <si>
    <t>קס.ממחס3.נסדחוד</t>
  </si>
  <si>
    <t>Highest Price</t>
  </si>
  <si>
    <t>Date High</t>
  </si>
  <si>
    <t>Lowest Price</t>
  </si>
  <si>
    <t>Date Low</t>
  </si>
  <si>
    <t>from High</t>
  </si>
  <si>
    <t>From 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</si>
</sst>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000000"/>
      <name val="Arial"/>
    </font>
    <font>
      <sz val="26"/>
      <color rgb="FF444444"/>
      <name val="Arial"/>
    </font>
    <font>
      <sz val="11"/>
      <color rgb="FF000000"/>
      <name val="Arial"/>
    </font>
    <font>
      <sz val="12"/>
      <color rgb="FF444444"/>
      <name val="Arial"/>
    </font>
    <font>
      <sz val="16"/>
      <color rgb="FF593EA7"/>
      <name val="Arial"/>
    </font>
    <font>
      <b/>
      <sz val="12"/>
      <color rgb="FFFFFFFF"/>
      <name val="Arial"/>
    </font>
    <font>
      <b/>
      <sz val="12"/>
      <color rgb="FF5036B3"/>
      <name val="Arial"/>
    </font>
    <font>
      <sz val="12"/>
      <color rgb="FFFF0000"/>
      <name val="Arial"/>
    </font>
    <font>
      <sz val="12"/>
      <color rgb="FF009900"/>
      <name val="Arial"/>
    </font>
    <font>
      <b/>
      <sz val="16"/>
      <color rgb="FFFFFFFF"/>
      <name val="Arial"/>
    </font>
    <font>
      <sz val="17"/>
      <color rgb="FF140043"/>
      <name val="Arial"/>
    </font>
    <font>
      <b/>
      <sz val="12"/>
      <color rgb="FFD05A00"/>
      <name val="Arial"/>
    </font>
    <font>
      <u/>
      <sz val="11"/>
      <color rgb="FFFFFFFF"/>
      <name val="Arial"/>
    </font>
    <font>
      <u/>
      <sz val="12"/>
      <color theme="10"/>
      <name val="Calibri"/>
      <family val="2"/>
      <scheme val="minor"/>
    </font>
    <font>
      <sz val="12"/>
      <color rgb="FF000000"/>
      <name val="Helvetica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AE8EA"/>
        <bgColor indexed="64"/>
      </patternFill>
    </fill>
    <fill>
      <patternFill patternType="solid">
        <fgColor rgb="FF5E41A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4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DDDDDD"/>
      </left>
      <right style="medium">
        <color rgb="FFC9C9C9"/>
      </right>
      <top style="medium">
        <color rgb="FFDDDDDD"/>
      </top>
      <bottom style="thick">
        <color rgb="FFC9C9C9"/>
      </bottom>
      <diagonal/>
    </border>
    <border>
      <left/>
      <right/>
      <top style="medium">
        <color rgb="FFDDDDDD"/>
      </top>
      <bottom style="thick">
        <color rgb="FFC9C9C9"/>
      </bottom>
      <diagonal/>
    </border>
    <border>
      <left/>
      <right style="medium">
        <color rgb="FFDDDDDD"/>
      </right>
      <top style="medium">
        <color rgb="FFDDDDDD"/>
      </top>
      <bottom style="thick">
        <color rgb="FFC9C9C9"/>
      </bottom>
      <diagonal/>
    </border>
    <border>
      <left style="medium">
        <color rgb="FFCCCCCC"/>
      </left>
      <right style="medium">
        <color rgb="FF57449B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E0E0E0"/>
      </left>
      <right/>
      <top style="medium">
        <color rgb="FFE0E0E0"/>
      </top>
      <bottom style="medium">
        <color rgb="FFE0E0E0"/>
      </bottom>
      <diagonal/>
    </border>
    <border>
      <left/>
      <right style="medium">
        <color rgb="FFE0E0E0"/>
      </right>
      <top style="medium">
        <color rgb="FFE0E0E0"/>
      </top>
      <bottom style="medium">
        <color rgb="FFE0E0E0"/>
      </bottom>
      <diagonal/>
    </border>
    <border>
      <left style="medium">
        <color rgb="FFE0E0E0"/>
      </left>
      <right/>
      <top style="medium">
        <color rgb="FFCCCCCC"/>
      </top>
      <bottom style="medium">
        <color rgb="FFE0E0E0"/>
      </bottom>
      <diagonal/>
    </border>
    <border>
      <left/>
      <right style="medium">
        <color rgb="FFE0E0E0"/>
      </right>
      <top style="medium">
        <color rgb="FFCCCCCC"/>
      </top>
      <bottom style="medium">
        <color rgb="FFE0E0E0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CCCCCC"/>
      </left>
      <right style="thin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DDDDDD"/>
      </left>
      <right style="thin">
        <color rgb="FF000000"/>
      </right>
      <top/>
      <bottom style="medium">
        <color rgb="FFDDDDDD"/>
      </bottom>
      <diagonal/>
    </border>
    <border>
      <left style="thin">
        <color rgb="FF000000"/>
      </left>
      <right/>
      <top style="medium">
        <color rgb="FFE0E0E0"/>
      </top>
      <bottom style="thin">
        <color rgb="FF000000"/>
      </bottom>
      <diagonal/>
    </border>
    <border>
      <left/>
      <right/>
      <top style="medium">
        <color rgb="FFE0E0E0"/>
      </top>
      <bottom style="thin">
        <color rgb="FF000000"/>
      </bottom>
      <diagonal/>
    </border>
    <border>
      <left/>
      <right style="medium">
        <color rgb="FFE0E0E0"/>
      </right>
      <top style="medium">
        <color rgb="FFE0E0E0"/>
      </top>
      <bottom style="thin">
        <color rgb="FF000000"/>
      </bottom>
      <diagonal/>
    </border>
    <border>
      <left style="medium">
        <color rgb="FFE0E0E0"/>
      </left>
      <right/>
      <top style="medium">
        <color rgb="FFE0E0E0"/>
      </top>
      <bottom style="thin">
        <color rgb="FF000000"/>
      </bottom>
      <diagonal/>
    </border>
    <border>
      <left/>
      <right style="medium">
        <color rgb="FFDDDDDD"/>
      </right>
      <top/>
      <bottom style="thin">
        <color rgb="FF000000"/>
      </bottom>
      <diagonal/>
    </border>
    <border>
      <left style="medium">
        <color rgb="FFDDDDDD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CCCCC"/>
      </left>
      <right style="medium">
        <color rgb="FFC9C9C9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DDDDDD"/>
      </right>
      <top style="medium">
        <color rgb="FFCCCCCC"/>
      </top>
      <bottom style="medium">
        <color rgb="FFCCCCCC"/>
      </bottom>
      <diagonal/>
    </border>
    <border>
      <left style="thin">
        <color rgb="FF000000"/>
      </left>
      <right style="medium">
        <color rgb="FFE0E0E0"/>
      </right>
      <top/>
      <bottom style="medium">
        <color rgb="FFE0E0E0"/>
      </bottom>
      <diagonal/>
    </border>
    <border>
      <left style="medium">
        <color rgb="FF57449B"/>
      </left>
      <right style="medium">
        <color rgb="FFDDDDDD"/>
      </right>
      <top style="medium">
        <color rgb="FFCCCCCC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CCCCCC"/>
      </top>
      <bottom style="medium">
        <color rgb="FFDDDDDD"/>
      </bottom>
      <diagonal/>
    </border>
    <border>
      <left style="thin">
        <color rgb="FF000000"/>
      </left>
      <right style="medium">
        <color rgb="FFE0E0E0"/>
      </right>
      <top style="medium">
        <color rgb="FFCCCCCC"/>
      </top>
      <bottom style="medium">
        <color rgb="FFE0E0E0"/>
      </bottom>
      <diagonal/>
    </border>
    <border>
      <left/>
      <right style="medium">
        <color rgb="FFDDDDDD"/>
      </right>
      <top style="medium">
        <color rgb="FFCCCCCC"/>
      </top>
      <bottom style="medium">
        <color rgb="FFDDDDDD"/>
      </bottom>
      <diagonal/>
    </border>
    <border>
      <left style="medium">
        <color rgb="FFE0E0E0"/>
      </left>
      <right style="medium">
        <color rgb="FFDDDDDD"/>
      </right>
      <top style="medium">
        <color rgb="FFCCCCCC"/>
      </top>
      <bottom style="medium">
        <color rgb="FFDDDDDD"/>
      </bottom>
      <diagonal/>
    </border>
    <border>
      <left style="thin">
        <color rgb="FF000000"/>
      </left>
      <right style="medium">
        <color rgb="FFE0E0E0"/>
      </right>
      <top style="medium">
        <color rgb="FFE0E0E0"/>
      </top>
      <bottom style="medium">
        <color rgb="FFE0E0E0"/>
      </bottom>
      <diagonal/>
    </border>
    <border>
      <left/>
      <right style="medium">
        <color rgb="FFDDDDDD"/>
      </right>
      <top style="medium">
        <color rgb="FFE0E0E0"/>
      </top>
      <bottom style="medium">
        <color rgb="FFDDDDDD"/>
      </bottom>
      <diagonal/>
    </border>
    <border>
      <left style="medium">
        <color rgb="FFE0E0E0"/>
      </left>
      <right style="medium">
        <color rgb="FFDDDDDD"/>
      </right>
      <top style="medium">
        <color rgb="FFE0E0E0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E0E0E0"/>
      </top>
      <bottom style="medium">
        <color rgb="FFDDDDDD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6" fillId="0" borderId="0" applyNumberFormat="0" applyFill="0" applyBorder="0" applyAlignment="0" applyProtection="0"/>
  </cellStyleXfs>
  <cellXfs count="93">
    <xf numFmtId="0" fontId="0" fillId="0" borderId="0" xfId="0"/>
    <xf numFmtId="0" fontId="16" fillId="0" borderId="0" xfId="3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5" fillId="0" borderId="0" xfId="0" applyFont="1" applyAlignment="1">
      <alignment vertical="center" wrapText="1"/>
    </xf>
    <xf numFmtId="0" fontId="7" fillId="0" borderId="6" xfId="0" applyFont="1" applyBorder="1" applyAlignment="1">
      <alignment horizontal="right" vertical="top" wrapText="1" readingOrder="2"/>
    </xf>
    <xf numFmtId="0" fontId="5" fillId="0" borderId="7" xfId="0" applyFont="1" applyBorder="1" applyAlignment="1">
      <alignment horizontal="right" vertical="top" wrapText="1" readingOrder="2"/>
    </xf>
    <xf numFmtId="0" fontId="16" fillId="4" borderId="10" xfId="3" applyFill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 readingOrder="1"/>
    </xf>
    <xf numFmtId="0" fontId="11" fillId="0" borderId="11" xfId="0" applyFont="1" applyBorder="1" applyAlignment="1">
      <alignment horizontal="center" vertical="center" wrapText="1" readingOrder="1"/>
    </xf>
    <xf numFmtId="0" fontId="0" fillId="0" borderId="17" xfId="0" applyBorder="1"/>
    <xf numFmtId="0" fontId="0" fillId="0" borderId="18" xfId="0" applyBorder="1"/>
    <xf numFmtId="0" fontId="16" fillId="4" borderId="19" xfId="3" applyFill="1" applyBorder="1" applyAlignment="1">
      <alignment horizontal="center" vertical="center" wrapText="1"/>
    </xf>
    <xf numFmtId="20" fontId="5" fillId="0" borderId="20" xfId="0" applyNumberFormat="1" applyFont="1" applyBorder="1" applyAlignment="1">
      <alignment horizontal="center" vertical="center" wrapText="1" readingOrder="2"/>
    </xf>
    <xf numFmtId="0" fontId="3" fillId="0" borderId="25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 readingOrder="1"/>
    </xf>
    <xf numFmtId="20" fontId="5" fillId="0" borderId="26" xfId="0" applyNumberFormat="1" applyFont="1" applyBorder="1" applyAlignment="1">
      <alignment horizontal="center" vertical="center" wrapText="1" readingOrder="2"/>
    </xf>
    <xf numFmtId="0" fontId="0" fillId="0" borderId="29" xfId="0" applyBorder="1"/>
    <xf numFmtId="0" fontId="5" fillId="0" borderId="29" xfId="0" applyFont="1" applyBorder="1" applyAlignment="1">
      <alignment vertical="center" wrapText="1"/>
    </xf>
    <xf numFmtId="0" fontId="5" fillId="0" borderId="31" xfId="0" applyFont="1" applyBorder="1" applyAlignment="1">
      <alignment vertical="center" wrapText="1"/>
    </xf>
    <xf numFmtId="0" fontId="16" fillId="0" borderId="31" xfId="3" applyBorder="1" applyAlignment="1">
      <alignment horizontal="right" vertical="center" wrapText="1"/>
    </xf>
    <xf numFmtId="0" fontId="0" fillId="0" borderId="31" xfId="0" applyBorder="1"/>
    <xf numFmtId="0" fontId="0" fillId="0" borderId="32" xfId="0" applyBorder="1"/>
    <xf numFmtId="0" fontId="5" fillId="0" borderId="0" xfId="0" applyFont="1" applyAlignment="1">
      <alignment horizontal="center" vertical="top" wrapText="1"/>
    </xf>
    <xf numFmtId="0" fontId="13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 readingOrder="2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right" vertical="center" wrapText="1" readingOrder="2"/>
    </xf>
    <xf numFmtId="0" fontId="5" fillId="0" borderId="4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4" fillId="0" borderId="8" xfId="0" applyFont="1" applyBorder="1" applyAlignment="1">
      <alignment horizontal="right" vertical="top" wrapText="1" readingOrder="2"/>
    </xf>
    <xf numFmtId="0" fontId="8" fillId="4" borderId="9" xfId="0" applyFont="1" applyFill="1" applyBorder="1" applyAlignment="1">
      <alignment horizontal="right" vertical="center" wrapText="1"/>
    </xf>
    <xf numFmtId="0" fontId="16" fillId="4" borderId="33" xfId="3" applyFill="1" applyBorder="1" applyAlignment="1">
      <alignment horizontal="center" vertical="center" wrapText="1"/>
    </xf>
    <xf numFmtId="0" fontId="16" fillId="4" borderId="34" xfId="3" applyFill="1" applyBorder="1" applyAlignment="1">
      <alignment horizontal="center" vertical="center" wrapText="1"/>
    </xf>
    <xf numFmtId="0" fontId="16" fillId="0" borderId="35" xfId="3" applyBorder="1" applyAlignment="1">
      <alignment horizontal="right" vertical="center" wrapText="1"/>
    </xf>
    <xf numFmtId="0" fontId="6" fillId="0" borderId="35" xfId="0" applyFont="1" applyBorder="1" applyAlignment="1">
      <alignment horizontal="center" vertical="center" wrapText="1"/>
    </xf>
    <xf numFmtId="0" fontId="10" fillId="4" borderId="35" xfId="0" applyFont="1" applyFill="1" applyBorder="1" applyAlignment="1">
      <alignment horizontal="center" vertical="center" wrapText="1" readingOrder="1"/>
    </xf>
    <xf numFmtId="0" fontId="3" fillId="4" borderId="11" xfId="0" applyFont="1" applyFill="1" applyBorder="1" applyAlignment="1">
      <alignment horizontal="center" vertical="center" wrapText="1"/>
    </xf>
    <xf numFmtId="0" fontId="10" fillId="4" borderId="11" xfId="0" applyFont="1" applyFill="1" applyBorder="1" applyAlignment="1">
      <alignment horizontal="center" vertical="center" wrapText="1" readingOrder="1"/>
    </xf>
    <xf numFmtId="0" fontId="11" fillId="4" borderId="36" xfId="3" applyFont="1" applyFill="1" applyBorder="1" applyAlignment="1">
      <alignment horizontal="center" vertical="center" wrapText="1" readingOrder="1"/>
    </xf>
    <xf numFmtId="0" fontId="9" fillId="0" borderId="35" xfId="3" applyFont="1" applyBorder="1" applyAlignment="1">
      <alignment horizontal="right" vertical="center" wrapText="1" indent="1"/>
    </xf>
    <xf numFmtId="0" fontId="11" fillId="0" borderId="38" xfId="3" applyFont="1" applyBorder="1" applyAlignment="1">
      <alignment horizontal="center" vertical="center" wrapText="1" readingOrder="1"/>
    </xf>
    <xf numFmtId="0" fontId="3" fillId="0" borderId="39" xfId="3" applyFont="1" applyBorder="1" applyAlignment="1">
      <alignment horizontal="center" vertical="center" wrapText="1"/>
    </xf>
    <xf numFmtId="0" fontId="10" fillId="0" borderId="39" xfId="3" applyFont="1" applyBorder="1" applyAlignment="1">
      <alignment horizontal="center" vertical="center" wrapText="1" readingOrder="1"/>
    </xf>
    <xf numFmtId="0" fontId="11" fillId="0" borderId="39" xfId="3" applyFont="1" applyBorder="1" applyAlignment="1">
      <alignment horizontal="center" vertical="center" wrapText="1" readingOrder="1"/>
    </xf>
    <xf numFmtId="0" fontId="11" fillId="0" borderId="40" xfId="0" applyFont="1" applyBorder="1" applyAlignment="1">
      <alignment horizontal="center" vertical="center" wrapText="1" readingOrder="1"/>
    </xf>
    <xf numFmtId="0" fontId="10" fillId="0" borderId="41" xfId="3" applyFont="1" applyBorder="1" applyAlignment="1">
      <alignment horizontal="center" vertical="center" wrapText="1" readingOrder="1"/>
    </xf>
    <xf numFmtId="0" fontId="3" fillId="0" borderId="42" xfId="3" applyFont="1" applyBorder="1" applyAlignment="1">
      <alignment horizontal="center" vertical="center" wrapText="1"/>
    </xf>
    <xf numFmtId="0" fontId="10" fillId="0" borderId="42" xfId="3" applyFont="1" applyBorder="1" applyAlignment="1">
      <alignment horizontal="center" vertical="center" wrapText="1" readingOrder="1"/>
    </xf>
    <xf numFmtId="0" fontId="11" fillId="0" borderId="43" xfId="0" applyFont="1" applyBorder="1" applyAlignment="1">
      <alignment horizontal="center" vertical="center" wrapText="1" readingOrder="1"/>
    </xf>
    <xf numFmtId="20" fontId="5" fillId="0" borderId="44" xfId="0" applyNumberFormat="1" applyFont="1" applyBorder="1" applyAlignment="1">
      <alignment horizontal="center" vertical="center" wrapText="1" readingOrder="2"/>
    </xf>
    <xf numFmtId="0" fontId="9" fillId="0" borderId="35" xfId="3" applyFont="1" applyBorder="1" applyAlignment="1">
      <alignment horizontal="right" vertical="center" wrapText="1"/>
    </xf>
    <xf numFmtId="0" fontId="11" fillId="0" borderId="42" xfId="3" applyFont="1" applyBorder="1" applyAlignment="1">
      <alignment horizontal="center" vertical="center" wrapText="1" readingOrder="1"/>
    </xf>
    <xf numFmtId="0" fontId="11" fillId="0" borderId="41" xfId="3" applyFont="1" applyBorder="1" applyAlignment="1">
      <alignment horizontal="center" vertical="center" wrapText="1" readingOrder="1"/>
    </xf>
    <xf numFmtId="0" fontId="10" fillId="0" borderId="43" xfId="0" applyFont="1" applyBorder="1" applyAlignment="1">
      <alignment horizontal="center" vertical="center" wrapText="1" readingOrder="1"/>
    </xf>
    <xf numFmtId="0" fontId="0" fillId="6" borderId="0" xfId="0" applyFill="1"/>
    <xf numFmtId="0" fontId="0" fillId="7" borderId="0" xfId="0" applyFill="1"/>
    <xf numFmtId="0" fontId="0" fillId="8" borderId="0" xfId="0" applyFill="1"/>
    <xf numFmtId="10" fontId="0" fillId="8" borderId="0" xfId="0" applyNumberFormat="1" applyFill="1"/>
    <xf numFmtId="14" fontId="0" fillId="0" borderId="0" xfId="0" applyNumberFormat="1"/>
    <xf numFmtId="10" fontId="1" fillId="2" borderId="0" xfId="1" applyNumberFormat="1"/>
    <xf numFmtId="0" fontId="1" fillId="2" borderId="0" xfId="1"/>
    <xf numFmtId="0" fontId="2" fillId="3" borderId="0" xfId="2"/>
    <xf numFmtId="0" fontId="1" fillId="0" borderId="0" xfId="1" applyFill="1"/>
    <xf numFmtId="0" fontId="0" fillId="0" borderId="0" xfId="0" applyFill="1"/>
    <xf numFmtId="20" fontId="5" fillId="6" borderId="37" xfId="3" applyNumberFormat="1" applyFont="1" applyFill="1" applyBorder="1" applyAlignment="1">
      <alignment horizontal="center" vertical="center" wrapText="1" readingOrder="2"/>
    </xf>
    <xf numFmtId="20" fontId="5" fillId="6" borderId="37" xfId="0" applyNumberFormat="1" applyFont="1" applyFill="1" applyBorder="1" applyAlignment="1">
      <alignment horizontal="center" vertical="center" wrapText="1" readingOrder="2"/>
    </xf>
    <xf numFmtId="20" fontId="5" fillId="6" borderId="44" xfId="0" applyNumberFormat="1" applyFont="1" applyFill="1" applyBorder="1" applyAlignment="1">
      <alignment horizontal="center" vertical="center" wrapText="1" readingOrder="2"/>
    </xf>
    <xf numFmtId="0" fontId="11" fillId="0" borderId="12" xfId="0" applyFont="1" applyBorder="1" applyAlignment="1">
      <alignment horizontal="center" vertical="center" wrapText="1" readingOrder="1"/>
    </xf>
    <xf numFmtId="0" fontId="11" fillId="0" borderId="13" xfId="0" applyFont="1" applyBorder="1" applyAlignment="1">
      <alignment horizontal="center" vertical="center" wrapText="1" readingOrder="1"/>
    </xf>
    <xf numFmtId="0" fontId="11" fillId="0" borderId="24" xfId="0" applyFont="1" applyBorder="1" applyAlignment="1">
      <alignment horizontal="center" vertical="center" wrapText="1" readingOrder="1"/>
    </xf>
    <xf numFmtId="0" fontId="11" fillId="0" borderId="23" xfId="0" applyFont="1" applyBorder="1" applyAlignment="1">
      <alignment horizontal="center" vertical="center" wrapText="1" readingOrder="1"/>
    </xf>
    <xf numFmtId="0" fontId="6" fillId="0" borderId="24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16" fillId="0" borderId="21" xfId="3" applyBorder="1" applyAlignment="1">
      <alignment horizontal="right" vertical="center" wrapText="1"/>
    </xf>
    <xf numFmtId="0" fontId="16" fillId="0" borderId="22" xfId="3" applyBorder="1" applyAlignment="1">
      <alignment horizontal="right" vertical="center" wrapText="1"/>
    </xf>
    <xf numFmtId="0" fontId="16" fillId="0" borderId="23" xfId="3" applyBorder="1" applyAlignment="1">
      <alignment horizontal="right" vertical="center" wrapText="1"/>
    </xf>
    <xf numFmtId="0" fontId="10" fillId="0" borderId="12" xfId="0" applyFont="1" applyBorder="1" applyAlignment="1">
      <alignment horizontal="center" vertical="center" wrapText="1" readingOrder="1"/>
    </xf>
    <xf numFmtId="0" fontId="10" fillId="0" borderId="13" xfId="0" applyFont="1" applyBorder="1" applyAlignment="1">
      <alignment horizontal="center" vertical="center" wrapText="1" readingOrder="1"/>
    </xf>
    <xf numFmtId="0" fontId="16" fillId="4" borderId="10" xfId="3" applyFill="1" applyBorder="1" applyAlignment="1">
      <alignment horizontal="center" vertical="center" wrapText="1"/>
    </xf>
    <xf numFmtId="0" fontId="16" fillId="4" borderId="16" xfId="3" applyFill="1" applyBorder="1" applyAlignment="1">
      <alignment horizontal="center" vertical="center" wrapText="1"/>
    </xf>
    <xf numFmtId="0" fontId="5" fillId="0" borderId="1" xfId="0" applyFont="1" applyBorder="1" applyAlignment="1">
      <alignment horizontal="right" vertical="top" wrapText="1"/>
    </xf>
    <xf numFmtId="0" fontId="5" fillId="0" borderId="2" xfId="0" applyFont="1" applyBorder="1" applyAlignment="1">
      <alignment horizontal="right" vertical="top" wrapText="1"/>
    </xf>
    <xf numFmtId="0" fontId="5" fillId="0" borderId="3" xfId="0" applyFont="1" applyBorder="1" applyAlignment="1">
      <alignment horizontal="right" vertical="top" wrapText="1"/>
    </xf>
    <xf numFmtId="0" fontId="16" fillId="0" borderId="27" xfId="3" applyBorder="1" applyAlignment="1">
      <alignment horizontal="right" vertical="center" wrapText="1"/>
    </xf>
    <xf numFmtId="0" fontId="16" fillId="0" borderId="0" xfId="3" applyAlignment="1">
      <alignment horizontal="right" vertical="center" wrapText="1"/>
    </xf>
    <xf numFmtId="0" fontId="16" fillId="0" borderId="30" xfId="3" applyBorder="1" applyAlignment="1">
      <alignment horizontal="right" vertical="center" wrapText="1"/>
    </xf>
    <xf numFmtId="0" fontId="16" fillId="0" borderId="31" xfId="3" applyBorder="1" applyAlignment="1">
      <alignment horizontal="right" vertical="center" wrapText="1"/>
    </xf>
    <xf numFmtId="0" fontId="12" fillId="5" borderId="28" xfId="0" applyFont="1" applyFill="1" applyBorder="1" applyAlignment="1">
      <alignment horizontal="right" vertical="center" wrapText="1"/>
    </xf>
    <xf numFmtId="0" fontId="12" fillId="5" borderId="17" xfId="0" applyFont="1" applyFill="1" applyBorder="1" applyAlignment="1">
      <alignment horizontal="right" vertical="center" wrapText="1"/>
    </xf>
    <xf numFmtId="0" fontId="10" fillId="0" borderId="14" xfId="0" applyFont="1" applyBorder="1" applyAlignment="1">
      <alignment horizontal="center" vertical="center" wrapText="1" readingOrder="1"/>
    </xf>
    <xf numFmtId="0" fontId="10" fillId="0" borderId="15" xfId="0" applyFont="1" applyBorder="1" applyAlignment="1">
      <alignment horizontal="center" vertical="center" wrapText="1" readingOrder="1"/>
    </xf>
  </cellXfs>
  <cellStyles count="4">
    <cellStyle name="Bad" xfId="2" builtinId="27"/>
    <cellStyle name="Good" xfId="1" builtinId="26"/>
    <cellStyle name="Hyperlink" xfId="3" builtinId="8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connections" Target="connections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495300</xdr:colOff>
          <xdr:row>140</xdr:row>
          <xdr:rowOff>165100</xdr:rowOff>
        </xdr:from>
        <xdr:to>
          <xdr:col>21</xdr:col>
          <xdr:colOff>12700</xdr:colOff>
          <xdr:row>144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Button 1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9" growShrinkType="overwriteClear" adjustColumnWidth="0" connectionId="9" autoFormatId="0" applyNumberFormats="0" applyBorderFormats="0" applyFontFormats="0" applyPatternFormats="0" applyAlignmentFormats="0" applyWidthHeightFormats="1"/>
</file>

<file path=xl/queryTables/queryTable2.xml><?xml version="1.0" encoding="utf-8"?>
<queryTable xmlns="http://schemas.openxmlformats.org/spreadsheetml/2006/main" name="ExternalData_1" headers="0" connectionId="7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0" Type="http://schemas.openxmlformats.org/officeDocument/2006/relationships/hyperlink" Target="http://finance.sponser.co.il/finance/table/?s=161018" TargetMode="External"/><Relationship Id="rId21" Type="http://schemas.openxmlformats.org/officeDocument/2006/relationships/hyperlink" Target="http://finance.sponser.co.il/finance/table/?s=168013" TargetMode="External"/><Relationship Id="rId22" Type="http://schemas.openxmlformats.org/officeDocument/2006/relationships/hyperlink" Target="http://finance.sponser.co.il/finance/table/?s=169011" TargetMode="External"/><Relationship Id="rId23" Type="http://schemas.openxmlformats.org/officeDocument/2006/relationships/hyperlink" Target="http://finance.sponser.co.il/finance/table/?s=174011" TargetMode="External"/><Relationship Id="rId24" Type="http://schemas.openxmlformats.org/officeDocument/2006/relationships/hyperlink" Target="http://finance.sponser.co.il/finance/table/?s=175018" TargetMode="External"/><Relationship Id="rId25" Type="http://schemas.openxmlformats.org/officeDocument/2006/relationships/hyperlink" Target="http://finance.sponser.co.il/finance/table/?s=180018" TargetMode="External"/><Relationship Id="rId26" Type="http://schemas.openxmlformats.org/officeDocument/2006/relationships/hyperlink" Target="http://finance.sponser.co.il/finance/table/?s=198010" TargetMode="External"/><Relationship Id="rId27" Type="http://schemas.openxmlformats.org/officeDocument/2006/relationships/hyperlink" Target="http://finance.sponser.co.il/finance/table/?s=199018" TargetMode="External"/><Relationship Id="rId28" Type="http://schemas.openxmlformats.org/officeDocument/2006/relationships/hyperlink" Target="http://finance.sponser.co.il/finance/table/?s=200014" TargetMode="External"/><Relationship Id="rId29" Type="http://schemas.openxmlformats.org/officeDocument/2006/relationships/hyperlink" Target="http://finance.sponser.co.il/finance/table/?s=208017" TargetMode="External"/><Relationship Id="rId170" Type="http://schemas.openxmlformats.org/officeDocument/2006/relationships/hyperlink" Target="http://finance.sponser.co.il/finance/table/?s=715011" TargetMode="External"/><Relationship Id="rId171" Type="http://schemas.openxmlformats.org/officeDocument/2006/relationships/hyperlink" Target="http://finance.sponser.co.il/finance/table/?s=720011" TargetMode="External"/><Relationship Id="rId172" Type="http://schemas.openxmlformats.org/officeDocument/2006/relationships/hyperlink" Target="http://finance.sponser.co.il/finance/table/?s=722314" TargetMode="External"/><Relationship Id="rId173" Type="http://schemas.openxmlformats.org/officeDocument/2006/relationships/hyperlink" Target="http://finance.sponser.co.il/finance/table/?s=723007" TargetMode="External"/><Relationship Id="rId174" Type="http://schemas.openxmlformats.org/officeDocument/2006/relationships/hyperlink" Target="http://finance.sponser.co.il/finance/table/?s=726018" TargetMode="External"/><Relationship Id="rId175" Type="http://schemas.openxmlformats.org/officeDocument/2006/relationships/hyperlink" Target="http://finance.sponser.co.il/finance/table/?s=727016" TargetMode="External"/><Relationship Id="rId176" Type="http://schemas.openxmlformats.org/officeDocument/2006/relationships/hyperlink" Target="http://finance.sponser.co.il/finance/table/?s=730010" TargetMode="External"/><Relationship Id="rId177" Type="http://schemas.openxmlformats.org/officeDocument/2006/relationships/hyperlink" Target="http://finance.sponser.co.il/finance/table/?s=731018" TargetMode="External"/><Relationship Id="rId178" Type="http://schemas.openxmlformats.org/officeDocument/2006/relationships/hyperlink" Target="http://finance.sponser.co.il/finance/table/?s=739037" TargetMode="External"/><Relationship Id="rId179" Type="http://schemas.openxmlformats.org/officeDocument/2006/relationships/hyperlink" Target="http://finance.sponser.co.il/finance/table/?s=744011" TargetMode="External"/><Relationship Id="rId230" Type="http://schemas.openxmlformats.org/officeDocument/2006/relationships/hyperlink" Target="http://finance.sponser.co.il/finance/table/?s=1082379" TargetMode="External"/><Relationship Id="rId231" Type="http://schemas.openxmlformats.org/officeDocument/2006/relationships/hyperlink" Target="http://finance.sponser.co.il/finance/table/?s=1082510" TargetMode="External"/><Relationship Id="rId232" Type="http://schemas.openxmlformats.org/officeDocument/2006/relationships/hyperlink" Target="http://finance.sponser.co.il/finance/table/?s=1082585" TargetMode="External"/><Relationship Id="rId233" Type="http://schemas.openxmlformats.org/officeDocument/2006/relationships/hyperlink" Target="http://finance.sponser.co.il/finance/table/?s=1082635" TargetMode="External"/><Relationship Id="rId234" Type="http://schemas.openxmlformats.org/officeDocument/2006/relationships/hyperlink" Target="http://finance.sponser.co.il/finance/table/?s=1082726" TargetMode="External"/><Relationship Id="rId235" Type="http://schemas.openxmlformats.org/officeDocument/2006/relationships/hyperlink" Target="http://finance.sponser.co.il/finance/table/?s=1082965" TargetMode="External"/><Relationship Id="rId236" Type="http://schemas.openxmlformats.org/officeDocument/2006/relationships/hyperlink" Target="http://finance.sponser.co.il/finance/table/?s=1083237" TargetMode="External"/><Relationship Id="rId237" Type="http://schemas.openxmlformats.org/officeDocument/2006/relationships/hyperlink" Target="http://finance.sponser.co.il/finance/table/?s=1083419" TargetMode="External"/><Relationship Id="rId238" Type="http://schemas.openxmlformats.org/officeDocument/2006/relationships/hyperlink" Target="http://finance.sponser.co.il/finance/table/?s=1083443" TargetMode="External"/><Relationship Id="rId239" Type="http://schemas.openxmlformats.org/officeDocument/2006/relationships/hyperlink" Target="http://finance.sponser.co.il/finance/table/?s=1083484" TargetMode="External"/><Relationship Id="rId30" Type="http://schemas.openxmlformats.org/officeDocument/2006/relationships/hyperlink" Target="http://finance.sponser.co.il/finance/table/?s=216010" TargetMode="External"/><Relationship Id="rId31" Type="http://schemas.openxmlformats.org/officeDocument/2006/relationships/hyperlink" Target="http://finance.sponser.co.il/finance/table/?s=220012" TargetMode="External"/><Relationship Id="rId32" Type="http://schemas.openxmlformats.org/officeDocument/2006/relationships/hyperlink" Target="http://finance.sponser.co.il/finance/table/?s=224014" TargetMode="External"/><Relationship Id="rId33" Type="http://schemas.openxmlformats.org/officeDocument/2006/relationships/hyperlink" Target="http://finance.sponser.co.il/finance/table/?s=226019" TargetMode="External"/><Relationship Id="rId34" Type="http://schemas.openxmlformats.org/officeDocument/2006/relationships/hyperlink" Target="http://finance.sponser.co.il/finance/table/?s=230011" TargetMode="External"/><Relationship Id="rId35" Type="http://schemas.openxmlformats.org/officeDocument/2006/relationships/hyperlink" Target="http://finance.sponser.co.il/finance/table/?s=232017" TargetMode="External"/><Relationship Id="rId36" Type="http://schemas.openxmlformats.org/officeDocument/2006/relationships/hyperlink" Target="http://finance.sponser.co.il/finance/table/?s=235010" TargetMode="External"/><Relationship Id="rId37" Type="http://schemas.openxmlformats.org/officeDocument/2006/relationships/hyperlink" Target="http://finance.sponser.co.il/finance/table/?s=238014" TargetMode="External"/><Relationship Id="rId38" Type="http://schemas.openxmlformats.org/officeDocument/2006/relationships/hyperlink" Target="http://finance.sponser.co.il/finance/table/?s=241018" TargetMode="External"/><Relationship Id="rId39" Type="http://schemas.openxmlformats.org/officeDocument/2006/relationships/hyperlink" Target="http://finance.sponser.co.il/finance/table/?s=243014" TargetMode="External"/><Relationship Id="rId180" Type="http://schemas.openxmlformats.org/officeDocument/2006/relationships/hyperlink" Target="http://finance.sponser.co.il/finance/table/?s=746016" TargetMode="External"/><Relationship Id="rId181" Type="http://schemas.openxmlformats.org/officeDocument/2006/relationships/hyperlink" Target="http://finance.sponser.co.il/finance/table/?s=749077" TargetMode="External"/><Relationship Id="rId182" Type="http://schemas.openxmlformats.org/officeDocument/2006/relationships/hyperlink" Target="http://finance.sponser.co.il/finance/table/?s=751032" TargetMode="External"/><Relationship Id="rId183" Type="http://schemas.openxmlformats.org/officeDocument/2006/relationships/hyperlink" Target="http://finance.sponser.co.il/finance/table/?s=753012" TargetMode="External"/><Relationship Id="rId184" Type="http://schemas.openxmlformats.org/officeDocument/2006/relationships/hyperlink" Target="http://finance.sponser.co.il/finance/table/?s=755017" TargetMode="External"/><Relationship Id="rId185" Type="http://schemas.openxmlformats.org/officeDocument/2006/relationships/hyperlink" Target="http://finance.sponser.co.il/finance/table/?s=756015" TargetMode="External"/><Relationship Id="rId186" Type="http://schemas.openxmlformats.org/officeDocument/2006/relationships/hyperlink" Target="http://finance.sponser.co.il/finance/table/?s=759019" TargetMode="External"/><Relationship Id="rId187" Type="http://schemas.openxmlformats.org/officeDocument/2006/relationships/hyperlink" Target="http://finance.sponser.co.il/finance/table/?s=763011" TargetMode="External"/><Relationship Id="rId188" Type="http://schemas.openxmlformats.org/officeDocument/2006/relationships/hyperlink" Target="http://finance.sponser.co.il/finance/table/?s=765016" TargetMode="External"/><Relationship Id="rId189" Type="http://schemas.openxmlformats.org/officeDocument/2006/relationships/hyperlink" Target="http://finance.sponser.co.il/finance/table/?s=767012" TargetMode="External"/><Relationship Id="rId240" Type="http://schemas.openxmlformats.org/officeDocument/2006/relationships/hyperlink" Target="http://finance.sponser.co.il/finance/table/?s=1083575" TargetMode="External"/><Relationship Id="rId241" Type="http://schemas.openxmlformats.org/officeDocument/2006/relationships/hyperlink" Target="http://finance.sponser.co.il/finance/table/?s=1083633" TargetMode="External"/><Relationship Id="rId242" Type="http://schemas.openxmlformats.org/officeDocument/2006/relationships/hyperlink" Target="http://finance.sponser.co.il/finance/table/?s=1083658" TargetMode="External"/><Relationship Id="rId243" Type="http://schemas.openxmlformats.org/officeDocument/2006/relationships/hyperlink" Target="http://finance.sponser.co.il/finance/table/?s=1083682" TargetMode="External"/><Relationship Id="rId244" Type="http://schemas.openxmlformats.org/officeDocument/2006/relationships/hyperlink" Target="http://finance.sponser.co.il/finance/table/?s=1083831" TargetMode="External"/><Relationship Id="rId245" Type="http://schemas.openxmlformats.org/officeDocument/2006/relationships/hyperlink" Target="http://finance.sponser.co.il/finance/table/?s=1083856" TargetMode="External"/><Relationship Id="rId246" Type="http://schemas.openxmlformats.org/officeDocument/2006/relationships/hyperlink" Target="http://finance.sponser.co.il/finance/table/?s=1083930" TargetMode="External"/><Relationship Id="rId247" Type="http://schemas.openxmlformats.org/officeDocument/2006/relationships/hyperlink" Target="http://finance.sponser.co.il/finance/table/?s=1083955" TargetMode="External"/><Relationship Id="rId248" Type="http://schemas.openxmlformats.org/officeDocument/2006/relationships/hyperlink" Target="http://finance.sponser.co.il/finance/table/?s=1084003" TargetMode="External"/><Relationship Id="rId249" Type="http://schemas.openxmlformats.org/officeDocument/2006/relationships/hyperlink" Target="http://finance.sponser.co.il/finance/table/?s=1084128" TargetMode="External"/><Relationship Id="rId300" Type="http://schemas.openxmlformats.org/officeDocument/2006/relationships/hyperlink" Target="http://finance.sponser.co.il/finance/table/?s=1096171" TargetMode="External"/><Relationship Id="rId301" Type="http://schemas.openxmlformats.org/officeDocument/2006/relationships/hyperlink" Target="http://finance.sponser.co.il/finance/table/?s=1096676" TargetMode="External"/><Relationship Id="rId302" Type="http://schemas.openxmlformats.org/officeDocument/2006/relationships/hyperlink" Target="http://finance.sponser.co.il/finance/table/?s=1096890" TargetMode="External"/><Relationship Id="rId303" Type="http://schemas.openxmlformats.org/officeDocument/2006/relationships/hyperlink" Target="http://finance.sponser.co.il/finance/table/?s=1097054" TargetMode="External"/><Relationship Id="rId304" Type="http://schemas.openxmlformats.org/officeDocument/2006/relationships/hyperlink" Target="http://finance.sponser.co.il/finance/table/?s=1097146" TargetMode="External"/><Relationship Id="rId305" Type="http://schemas.openxmlformats.org/officeDocument/2006/relationships/hyperlink" Target="http://finance.sponser.co.il/finance/table/?s=1097229" TargetMode="External"/><Relationship Id="rId306" Type="http://schemas.openxmlformats.org/officeDocument/2006/relationships/hyperlink" Target="http://finance.sponser.co.il/finance/table/?s=1097260" TargetMode="External"/><Relationship Id="rId307" Type="http://schemas.openxmlformats.org/officeDocument/2006/relationships/hyperlink" Target="http://finance.sponser.co.il/finance/table/?s=1097278" TargetMode="External"/><Relationship Id="rId308" Type="http://schemas.openxmlformats.org/officeDocument/2006/relationships/hyperlink" Target="http://finance.sponser.co.il/finance/table/?s=1097344" TargetMode="External"/><Relationship Id="rId309" Type="http://schemas.openxmlformats.org/officeDocument/2006/relationships/hyperlink" Target="http://finance.sponser.co.il/finance/table/?s=1097948" TargetMode="External"/><Relationship Id="rId40" Type="http://schemas.openxmlformats.org/officeDocument/2006/relationships/hyperlink" Target="http://finance.sponser.co.il/finance/table/?s=251017" TargetMode="External"/><Relationship Id="rId41" Type="http://schemas.openxmlformats.org/officeDocument/2006/relationships/hyperlink" Target="http://finance.sponser.co.il/finance/table/?s=253013" TargetMode="External"/><Relationship Id="rId42" Type="http://schemas.openxmlformats.org/officeDocument/2006/relationships/hyperlink" Target="http://finance.sponser.co.il/finance/table/?s=256016" TargetMode="External"/><Relationship Id="rId43" Type="http://schemas.openxmlformats.org/officeDocument/2006/relationships/hyperlink" Target="http://finance.sponser.co.il/finance/table/?s=257014" TargetMode="External"/><Relationship Id="rId44" Type="http://schemas.openxmlformats.org/officeDocument/2006/relationships/hyperlink" Target="http://finance.sponser.co.il/finance/table/?s=258012" TargetMode="External"/><Relationship Id="rId45" Type="http://schemas.openxmlformats.org/officeDocument/2006/relationships/hyperlink" Target="http://finance.sponser.co.il/finance/table/?s=265017" TargetMode="External"/><Relationship Id="rId46" Type="http://schemas.openxmlformats.org/officeDocument/2006/relationships/hyperlink" Target="http://finance.sponser.co.il/finance/table/?s=266015" TargetMode="External"/><Relationship Id="rId47" Type="http://schemas.openxmlformats.org/officeDocument/2006/relationships/hyperlink" Target="http://finance.sponser.co.il/finance/table/?s=268011" TargetMode="External"/><Relationship Id="rId48" Type="http://schemas.openxmlformats.org/officeDocument/2006/relationships/hyperlink" Target="http://finance.sponser.co.il/finance/table/?s=271015" TargetMode="External"/><Relationship Id="rId49" Type="http://schemas.openxmlformats.org/officeDocument/2006/relationships/hyperlink" Target="http://finance.sponser.co.il/finance/table/?s=273011" TargetMode="External"/><Relationship Id="rId1" Type="http://schemas.openxmlformats.org/officeDocument/2006/relationships/hyperlink" Target="http://finance.sponser.co.il/finance/table/?s=5550157" TargetMode="External"/><Relationship Id="rId2" Type="http://schemas.openxmlformats.org/officeDocument/2006/relationships/hyperlink" Target="http://www.sponser.co.il/Article.aspx?ArticleId=69152&amp;from=finance.morearticles" TargetMode="External"/><Relationship Id="rId3" Type="http://schemas.openxmlformats.org/officeDocument/2006/relationships/hyperlink" Target="http://www.sponser.co.il/Article.aspx?ArticleId=69152&amp;from=finance.morearticles" TargetMode="External"/><Relationship Id="rId4" Type="http://schemas.openxmlformats.org/officeDocument/2006/relationships/hyperlink" Target="http://www.sponser.co.il/Article.aspx?ArticleId=67612&amp;from=finance.morearticles" TargetMode="External"/><Relationship Id="rId5" Type="http://schemas.openxmlformats.org/officeDocument/2006/relationships/hyperlink" Target="http://www.sponser.co.il/Article.aspx?ArticleId=67612&amp;from=finance.morearticles" TargetMode="External"/><Relationship Id="rId6" Type="http://schemas.openxmlformats.org/officeDocument/2006/relationships/hyperlink" Target="http://www.sponser.co.il/Article.aspx?ArticleId=70273&amp;from=finance.morearticles" TargetMode="External"/><Relationship Id="rId7" Type="http://schemas.openxmlformats.org/officeDocument/2006/relationships/hyperlink" Target="http://www.sponser.co.il/Article.aspx?ArticleId=70273&amp;from=finance.morearticles" TargetMode="External"/><Relationship Id="rId8" Type="http://schemas.openxmlformats.org/officeDocument/2006/relationships/hyperlink" Target="http://finance.sponser.co.il/finance/table/?s=103010" TargetMode="External"/><Relationship Id="rId9" Type="http://schemas.openxmlformats.org/officeDocument/2006/relationships/hyperlink" Target="http://finance.sponser.co.il/finance/table/?s=106013" TargetMode="External"/><Relationship Id="rId190" Type="http://schemas.openxmlformats.org/officeDocument/2006/relationships/hyperlink" Target="http://finance.sponser.co.il/finance/table/?s=769026" TargetMode="External"/><Relationship Id="rId191" Type="http://schemas.openxmlformats.org/officeDocument/2006/relationships/hyperlink" Target="http://finance.sponser.co.il/finance/table/?s=770016" TargetMode="External"/><Relationship Id="rId192" Type="http://schemas.openxmlformats.org/officeDocument/2006/relationships/hyperlink" Target="http://finance.sponser.co.il/finance/table/?s=771014" TargetMode="External"/><Relationship Id="rId193" Type="http://schemas.openxmlformats.org/officeDocument/2006/relationships/hyperlink" Target="http://finance.sponser.co.il/finance/table/?s=777037" TargetMode="External"/><Relationship Id="rId194" Type="http://schemas.openxmlformats.org/officeDocument/2006/relationships/hyperlink" Target="http://finance.sponser.co.il/finance/table/?s=796011" TargetMode="External"/><Relationship Id="rId195" Type="http://schemas.openxmlformats.org/officeDocument/2006/relationships/hyperlink" Target="http://finance.sponser.co.il/finance/table/?s=797035" TargetMode="External"/><Relationship Id="rId196" Type="http://schemas.openxmlformats.org/officeDocument/2006/relationships/hyperlink" Target="http://finance.sponser.co.il/finance/table/?s=810010" TargetMode="External"/><Relationship Id="rId197" Type="http://schemas.openxmlformats.org/officeDocument/2006/relationships/hyperlink" Target="http://finance.sponser.co.il/finance/table/?s=813014" TargetMode="External"/><Relationship Id="rId198" Type="http://schemas.openxmlformats.org/officeDocument/2006/relationships/hyperlink" Target="http://finance.sponser.co.il/finance/table/?s=822015" TargetMode="External"/><Relationship Id="rId199" Type="http://schemas.openxmlformats.org/officeDocument/2006/relationships/hyperlink" Target="http://finance.sponser.co.il/finance/table/?s=823013" TargetMode="External"/><Relationship Id="rId250" Type="http://schemas.openxmlformats.org/officeDocument/2006/relationships/hyperlink" Target="http://finance.sponser.co.il/finance/table/?s=1084482" TargetMode="External"/><Relationship Id="rId251" Type="http://schemas.openxmlformats.org/officeDocument/2006/relationships/hyperlink" Target="http://finance.sponser.co.il/finance/table/?s=1084557" TargetMode="External"/><Relationship Id="rId252" Type="http://schemas.openxmlformats.org/officeDocument/2006/relationships/hyperlink" Target="http://finance.sponser.co.il/finance/table/?s=1084698" TargetMode="External"/><Relationship Id="rId253" Type="http://schemas.openxmlformats.org/officeDocument/2006/relationships/hyperlink" Target="http://finance.sponser.co.il/finance/table/?s=1084953" TargetMode="External"/><Relationship Id="rId254" Type="http://schemas.openxmlformats.org/officeDocument/2006/relationships/hyperlink" Target="http://finance.sponser.co.il/finance/table/?s=1085166" TargetMode="External"/><Relationship Id="rId255" Type="http://schemas.openxmlformats.org/officeDocument/2006/relationships/hyperlink" Target="http://finance.sponser.co.il/finance/table/?s=1085208" TargetMode="External"/><Relationship Id="rId256" Type="http://schemas.openxmlformats.org/officeDocument/2006/relationships/hyperlink" Target="http://finance.sponser.co.il/finance/table/?s=1085265" TargetMode="External"/><Relationship Id="rId257" Type="http://schemas.openxmlformats.org/officeDocument/2006/relationships/hyperlink" Target="http://finance.sponser.co.il/finance/table/?s=1085497" TargetMode="External"/><Relationship Id="rId258" Type="http://schemas.openxmlformats.org/officeDocument/2006/relationships/hyperlink" Target="http://finance.sponser.co.il/finance/table/?s=1086230" TargetMode="External"/><Relationship Id="rId259" Type="http://schemas.openxmlformats.org/officeDocument/2006/relationships/hyperlink" Target="http://finance.sponser.co.il/finance/table/?s=1087022" TargetMode="External"/><Relationship Id="rId310" Type="http://schemas.openxmlformats.org/officeDocument/2006/relationships/hyperlink" Target="http://finance.sponser.co.il/finance/table/?s=1098565" TargetMode="External"/><Relationship Id="rId311" Type="http://schemas.openxmlformats.org/officeDocument/2006/relationships/hyperlink" Target="http://finance.sponser.co.il/finance/table/?s=1098755" TargetMode="External"/><Relationship Id="rId312" Type="http://schemas.openxmlformats.org/officeDocument/2006/relationships/hyperlink" Target="http://finance.sponser.co.il/finance/table/?s=1098920" TargetMode="External"/><Relationship Id="rId313" Type="http://schemas.openxmlformats.org/officeDocument/2006/relationships/hyperlink" Target="http://finance.sponser.co.il/finance/table/?s=1099571" TargetMode="External"/><Relationship Id="rId314" Type="http://schemas.openxmlformats.org/officeDocument/2006/relationships/hyperlink" Target="http://finance.sponser.co.il/finance/table/?s=1099654" TargetMode="External"/><Relationship Id="rId315" Type="http://schemas.openxmlformats.org/officeDocument/2006/relationships/hyperlink" Target="http://finance.sponser.co.il/finance/table/?s=1099787" TargetMode="External"/><Relationship Id="rId316" Type="http://schemas.openxmlformats.org/officeDocument/2006/relationships/hyperlink" Target="http://finance.sponser.co.il/finance/table/?s=1100007" TargetMode="External"/><Relationship Id="rId317" Type="http://schemas.openxmlformats.org/officeDocument/2006/relationships/hyperlink" Target="http://finance.sponser.co.il/finance/table/?s=1100718" TargetMode="External"/><Relationship Id="rId318" Type="http://schemas.openxmlformats.org/officeDocument/2006/relationships/hyperlink" Target="http://finance.sponser.co.il/finance/table/?s=1100957" TargetMode="External"/><Relationship Id="rId319" Type="http://schemas.openxmlformats.org/officeDocument/2006/relationships/hyperlink" Target="http://finance.sponser.co.il/finance/table/?s=1101021" TargetMode="External"/><Relationship Id="rId50" Type="http://schemas.openxmlformats.org/officeDocument/2006/relationships/hyperlink" Target="http://finance.sponser.co.il/finance/table/?s=274019" TargetMode="External"/><Relationship Id="rId51" Type="http://schemas.openxmlformats.org/officeDocument/2006/relationships/hyperlink" Target="http://finance.sponser.co.il/finance/table/?s=278010" TargetMode="External"/><Relationship Id="rId52" Type="http://schemas.openxmlformats.org/officeDocument/2006/relationships/hyperlink" Target="http://finance.sponser.co.il/finance/table/?s=280016" TargetMode="External"/><Relationship Id="rId53" Type="http://schemas.openxmlformats.org/officeDocument/2006/relationships/hyperlink" Target="http://finance.sponser.co.il/finance/table/?s=281014" TargetMode="External"/><Relationship Id="rId54" Type="http://schemas.openxmlformats.org/officeDocument/2006/relationships/hyperlink" Target="http://finance.sponser.co.il/finance/table/?s=282012" TargetMode="External"/><Relationship Id="rId55" Type="http://schemas.openxmlformats.org/officeDocument/2006/relationships/hyperlink" Target="http://finance.sponser.co.il/finance/table/?s=286013" TargetMode="External"/><Relationship Id="rId56" Type="http://schemas.openxmlformats.org/officeDocument/2006/relationships/hyperlink" Target="http://finance.sponser.co.il/finance/table/?s=288019" TargetMode="External"/><Relationship Id="rId57" Type="http://schemas.openxmlformats.org/officeDocument/2006/relationships/hyperlink" Target="http://finance.sponser.co.il/finance/table/?s=290023" TargetMode="External"/><Relationship Id="rId58" Type="http://schemas.openxmlformats.org/officeDocument/2006/relationships/hyperlink" Target="http://finance.sponser.co.il/finance/table/?s=297010" TargetMode="External"/><Relationship Id="rId59" Type="http://schemas.openxmlformats.org/officeDocument/2006/relationships/hyperlink" Target="http://finance.sponser.co.il/finance/table/?s=299016" TargetMode="External"/><Relationship Id="rId260" Type="http://schemas.openxmlformats.org/officeDocument/2006/relationships/hyperlink" Target="http://finance.sponser.co.il/finance/table/?s=1087659" TargetMode="External"/><Relationship Id="rId261" Type="http://schemas.openxmlformats.org/officeDocument/2006/relationships/hyperlink" Target="http://finance.sponser.co.il/finance/table/?s=1087824" TargetMode="External"/><Relationship Id="rId262" Type="http://schemas.openxmlformats.org/officeDocument/2006/relationships/hyperlink" Target="http://finance.sponser.co.il/finance/table/?s=1087949" TargetMode="External"/><Relationship Id="rId263" Type="http://schemas.openxmlformats.org/officeDocument/2006/relationships/hyperlink" Target="http://finance.sponser.co.il/finance/table/?s=1090117" TargetMode="External"/><Relationship Id="rId264" Type="http://schemas.openxmlformats.org/officeDocument/2006/relationships/hyperlink" Target="http://finance.sponser.co.il/finance/table/?s=1090141" TargetMode="External"/><Relationship Id="rId265" Type="http://schemas.openxmlformats.org/officeDocument/2006/relationships/hyperlink" Target="http://finance.sponser.co.il/finance/table/?s=1090315" TargetMode="External"/><Relationship Id="rId266" Type="http://schemas.openxmlformats.org/officeDocument/2006/relationships/hyperlink" Target="http://finance.sponser.co.il/finance/table/?s=1090364" TargetMode="External"/><Relationship Id="rId267" Type="http://schemas.openxmlformats.org/officeDocument/2006/relationships/hyperlink" Target="http://finance.sponser.co.il/finance/table/?s=1090547" TargetMode="External"/><Relationship Id="rId268" Type="http://schemas.openxmlformats.org/officeDocument/2006/relationships/hyperlink" Target="http://finance.sponser.co.il/finance/table/?s=1090943" TargetMode="External"/><Relationship Id="rId269" Type="http://schemas.openxmlformats.org/officeDocument/2006/relationships/hyperlink" Target="http://finance.sponser.co.il/finance/table/?s=1091065" TargetMode="External"/><Relationship Id="rId320" Type="http://schemas.openxmlformats.org/officeDocument/2006/relationships/hyperlink" Target="http://finance.sponser.co.il/finance/table/?s=1101450" TargetMode="External"/><Relationship Id="rId321" Type="http://schemas.openxmlformats.org/officeDocument/2006/relationships/hyperlink" Target="http://finance.sponser.co.il/finance/table/?s=1101518" TargetMode="External"/><Relationship Id="rId322" Type="http://schemas.openxmlformats.org/officeDocument/2006/relationships/hyperlink" Target="http://finance.sponser.co.il/finance/table/?s=1101534" TargetMode="External"/><Relationship Id="rId323" Type="http://schemas.openxmlformats.org/officeDocument/2006/relationships/hyperlink" Target="http://finance.sponser.co.il/finance/table/?s=1101666" TargetMode="External"/><Relationship Id="rId324" Type="http://schemas.openxmlformats.org/officeDocument/2006/relationships/hyperlink" Target="http://finance.sponser.co.il/finance/table/?s=1102128" TargetMode="External"/><Relationship Id="rId325" Type="http://schemas.openxmlformats.org/officeDocument/2006/relationships/hyperlink" Target="http://finance.sponser.co.il/finance/table/?s=1102219" TargetMode="External"/><Relationship Id="rId326" Type="http://schemas.openxmlformats.org/officeDocument/2006/relationships/hyperlink" Target="http://finance.sponser.co.il/finance/table/?s=1102235" TargetMode="External"/><Relationship Id="rId327" Type="http://schemas.openxmlformats.org/officeDocument/2006/relationships/hyperlink" Target="http://finance.sponser.co.il/finance/table/?s=1102458" TargetMode="External"/><Relationship Id="rId328" Type="http://schemas.openxmlformats.org/officeDocument/2006/relationships/hyperlink" Target="http://finance.sponser.co.il/finance/table/?s=1102532" TargetMode="External"/><Relationship Id="rId329" Type="http://schemas.openxmlformats.org/officeDocument/2006/relationships/hyperlink" Target="http://finance.sponser.co.il/finance/table/?s=1103464" TargetMode="External"/><Relationship Id="rId100" Type="http://schemas.openxmlformats.org/officeDocument/2006/relationships/hyperlink" Target="http://finance.sponser.co.il/finance/table/?s=434019" TargetMode="External"/><Relationship Id="rId101" Type="http://schemas.openxmlformats.org/officeDocument/2006/relationships/hyperlink" Target="http://finance.sponser.co.il/finance/table/?s=440016" TargetMode="External"/><Relationship Id="rId102" Type="http://schemas.openxmlformats.org/officeDocument/2006/relationships/hyperlink" Target="http://finance.sponser.co.il/finance/table/?s=442012" TargetMode="External"/><Relationship Id="rId103" Type="http://schemas.openxmlformats.org/officeDocument/2006/relationships/hyperlink" Target="http://finance.sponser.co.il/finance/table/?s=444018" TargetMode="External"/><Relationship Id="rId104" Type="http://schemas.openxmlformats.org/officeDocument/2006/relationships/hyperlink" Target="http://finance.sponser.co.il/finance/table/?s=445015" TargetMode="External"/><Relationship Id="rId105" Type="http://schemas.openxmlformats.org/officeDocument/2006/relationships/hyperlink" Target="http://finance.sponser.co.il/finance/table/?s=454017" TargetMode="External"/><Relationship Id="rId106" Type="http://schemas.openxmlformats.org/officeDocument/2006/relationships/hyperlink" Target="http://finance.sponser.co.il/finance/table/?s=455014" TargetMode="External"/><Relationship Id="rId107" Type="http://schemas.openxmlformats.org/officeDocument/2006/relationships/hyperlink" Target="http://finance.sponser.co.il/finance/table/?s=456012" TargetMode="External"/><Relationship Id="rId108" Type="http://schemas.openxmlformats.org/officeDocument/2006/relationships/hyperlink" Target="http://finance.sponser.co.il/finance/table/?s=462010" TargetMode="External"/><Relationship Id="rId109" Type="http://schemas.openxmlformats.org/officeDocument/2006/relationships/hyperlink" Target="http://finance.sponser.co.il/finance/table/?s=473017" TargetMode="External"/><Relationship Id="rId60" Type="http://schemas.openxmlformats.org/officeDocument/2006/relationships/hyperlink" Target="http://finance.sponser.co.il/finance/table/?s=310011" TargetMode="External"/><Relationship Id="rId61" Type="http://schemas.openxmlformats.org/officeDocument/2006/relationships/hyperlink" Target="http://finance.sponser.co.il/finance/table/?s=312017" TargetMode="External"/><Relationship Id="rId62" Type="http://schemas.openxmlformats.org/officeDocument/2006/relationships/hyperlink" Target="http://finance.sponser.co.il/finance/table/?s=313015" TargetMode="External"/><Relationship Id="rId63" Type="http://schemas.openxmlformats.org/officeDocument/2006/relationships/hyperlink" Target="http://finance.sponser.co.il/finance/table/?s=314013" TargetMode="External"/><Relationship Id="rId64" Type="http://schemas.openxmlformats.org/officeDocument/2006/relationships/hyperlink" Target="http://finance.sponser.co.il/finance/table/?s=315010" TargetMode="External"/><Relationship Id="rId65" Type="http://schemas.openxmlformats.org/officeDocument/2006/relationships/hyperlink" Target="http://finance.sponser.co.il/finance/table/?s=318014" TargetMode="External"/><Relationship Id="rId66" Type="http://schemas.openxmlformats.org/officeDocument/2006/relationships/hyperlink" Target="http://finance.sponser.co.il/finance/table/?s=323014" TargetMode="External"/><Relationship Id="rId67" Type="http://schemas.openxmlformats.org/officeDocument/2006/relationships/hyperlink" Target="http://finance.sponser.co.il/finance/table/?s=328013" TargetMode="External"/><Relationship Id="rId68" Type="http://schemas.openxmlformats.org/officeDocument/2006/relationships/hyperlink" Target="http://finance.sponser.co.il/finance/table/?s=333013" TargetMode="External"/><Relationship Id="rId69" Type="http://schemas.openxmlformats.org/officeDocument/2006/relationships/hyperlink" Target="http://finance.sponser.co.il/finance/table/?s=338012" TargetMode="External"/><Relationship Id="rId270" Type="http://schemas.openxmlformats.org/officeDocument/2006/relationships/hyperlink" Target="http://finance.sponser.co.il/finance/table/?s=1091248" TargetMode="External"/><Relationship Id="rId271" Type="http://schemas.openxmlformats.org/officeDocument/2006/relationships/hyperlink" Target="http://finance.sponser.co.il/finance/table/?s=1091354" TargetMode="External"/><Relationship Id="rId272" Type="http://schemas.openxmlformats.org/officeDocument/2006/relationships/hyperlink" Target="http://finance.sponser.co.il/finance/table/?s=1091651" TargetMode="External"/><Relationship Id="rId273" Type="http://schemas.openxmlformats.org/officeDocument/2006/relationships/hyperlink" Target="http://finance.sponser.co.il/finance/table/?s=1091685" TargetMode="External"/><Relationship Id="rId274" Type="http://schemas.openxmlformats.org/officeDocument/2006/relationships/hyperlink" Target="http://finance.sponser.co.il/finance/table/?s=1091933" TargetMode="External"/><Relationship Id="rId275" Type="http://schemas.openxmlformats.org/officeDocument/2006/relationships/hyperlink" Target="http://finance.sponser.co.il/finance/table/?s=1092204" TargetMode="External"/><Relationship Id="rId276" Type="http://schemas.openxmlformats.org/officeDocument/2006/relationships/hyperlink" Target="http://finance.sponser.co.il/finance/table/?s=1092345" TargetMode="External"/><Relationship Id="rId277" Type="http://schemas.openxmlformats.org/officeDocument/2006/relationships/hyperlink" Target="http://finance.sponser.co.il/finance/table/?s=1092709" TargetMode="External"/><Relationship Id="rId278" Type="http://schemas.openxmlformats.org/officeDocument/2006/relationships/hyperlink" Target="http://finance.sponser.co.il/finance/table/?s=1092840" TargetMode="External"/><Relationship Id="rId279" Type="http://schemas.openxmlformats.org/officeDocument/2006/relationships/hyperlink" Target="http://finance.sponser.co.il/finance/table/?s=1093202" TargetMode="External"/><Relationship Id="rId330" Type="http://schemas.openxmlformats.org/officeDocument/2006/relationships/hyperlink" Target="http://finance.sponser.co.il/finance/table/?s=1103506" TargetMode="External"/><Relationship Id="rId331" Type="http://schemas.openxmlformats.org/officeDocument/2006/relationships/hyperlink" Target="http://finance.sponser.co.il/finance/table/?s=1103571" TargetMode="External"/><Relationship Id="rId332" Type="http://schemas.openxmlformats.org/officeDocument/2006/relationships/hyperlink" Target="http://finance.sponser.co.il/finance/table/?s=1103852" TargetMode="External"/><Relationship Id="rId333" Type="http://schemas.openxmlformats.org/officeDocument/2006/relationships/hyperlink" Target="http://finance.sponser.co.il/finance/table/?s=1103878" TargetMode="External"/><Relationship Id="rId334" Type="http://schemas.openxmlformats.org/officeDocument/2006/relationships/hyperlink" Target="http://finance.sponser.co.il/finance/table/?s=1104058" TargetMode="External"/><Relationship Id="rId335" Type="http://schemas.openxmlformats.org/officeDocument/2006/relationships/hyperlink" Target="http://finance.sponser.co.il/finance/table/?s=1104249" TargetMode="External"/><Relationship Id="rId336" Type="http://schemas.openxmlformats.org/officeDocument/2006/relationships/hyperlink" Target="http://finance.sponser.co.il/finance/table/?s=1104280" TargetMode="External"/><Relationship Id="rId337" Type="http://schemas.openxmlformats.org/officeDocument/2006/relationships/hyperlink" Target="http://finance.sponser.co.il/finance/table/?s=1104314" TargetMode="External"/><Relationship Id="rId338" Type="http://schemas.openxmlformats.org/officeDocument/2006/relationships/hyperlink" Target="http://finance.sponser.co.il/finance/table/?s=1104488" TargetMode="External"/><Relationship Id="rId339" Type="http://schemas.openxmlformats.org/officeDocument/2006/relationships/hyperlink" Target="http://finance.sponser.co.il/finance/table/?s=1104496" TargetMode="External"/><Relationship Id="rId110" Type="http://schemas.openxmlformats.org/officeDocument/2006/relationships/hyperlink" Target="http://finance.sponser.co.il/finance/table/?s=474015" TargetMode="External"/><Relationship Id="rId111" Type="http://schemas.openxmlformats.org/officeDocument/2006/relationships/hyperlink" Target="http://finance.sponser.co.il/finance/table/?s=475020" TargetMode="External"/><Relationship Id="rId112" Type="http://schemas.openxmlformats.org/officeDocument/2006/relationships/hyperlink" Target="http://finance.sponser.co.il/finance/table/?s=477018" TargetMode="External"/><Relationship Id="rId113" Type="http://schemas.openxmlformats.org/officeDocument/2006/relationships/hyperlink" Target="http://finance.sponser.co.il/finance/table/?s=485011" TargetMode="External"/><Relationship Id="rId114" Type="http://schemas.openxmlformats.org/officeDocument/2006/relationships/hyperlink" Target="http://finance.sponser.co.il/finance/table/?s=486027" TargetMode="External"/><Relationship Id="rId115" Type="http://schemas.openxmlformats.org/officeDocument/2006/relationships/hyperlink" Target="http://finance.sponser.co.il/finance/table/?s=494013" TargetMode="External"/><Relationship Id="rId70" Type="http://schemas.openxmlformats.org/officeDocument/2006/relationships/hyperlink" Target="http://finance.sponser.co.il/finance/table/?s=341016" TargetMode="External"/><Relationship Id="rId71" Type="http://schemas.openxmlformats.org/officeDocument/2006/relationships/hyperlink" Target="http://finance.sponser.co.il/finance/table/?s=342014" TargetMode="External"/><Relationship Id="rId72" Type="http://schemas.openxmlformats.org/officeDocument/2006/relationships/hyperlink" Target="http://finance.sponser.co.il/finance/table/?s=345017" TargetMode="External"/><Relationship Id="rId73" Type="http://schemas.openxmlformats.org/officeDocument/2006/relationships/hyperlink" Target="http://finance.sponser.co.il/finance/table/?s=350017" TargetMode="External"/><Relationship Id="rId74" Type="http://schemas.openxmlformats.org/officeDocument/2006/relationships/hyperlink" Target="http://finance.sponser.co.il/finance/table/?s=351015" TargetMode="External"/><Relationship Id="rId75" Type="http://schemas.openxmlformats.org/officeDocument/2006/relationships/hyperlink" Target="http://finance.sponser.co.il/finance/table/?s=354019" TargetMode="External"/><Relationship Id="rId76" Type="http://schemas.openxmlformats.org/officeDocument/2006/relationships/hyperlink" Target="http://finance.sponser.co.il/finance/table/?s=363010" TargetMode="External"/><Relationship Id="rId77" Type="http://schemas.openxmlformats.org/officeDocument/2006/relationships/hyperlink" Target="http://finance.sponser.co.il/finance/table/?s=365015" TargetMode="External"/><Relationship Id="rId78" Type="http://schemas.openxmlformats.org/officeDocument/2006/relationships/hyperlink" Target="http://finance.sponser.co.il/finance/table/?s=366013" TargetMode="External"/><Relationship Id="rId79" Type="http://schemas.openxmlformats.org/officeDocument/2006/relationships/hyperlink" Target="http://finance.sponser.co.il/finance/table/?s=368019" TargetMode="External"/><Relationship Id="rId116" Type="http://schemas.openxmlformats.org/officeDocument/2006/relationships/hyperlink" Target="http://finance.sponser.co.il/finance/table/?s=496018" TargetMode="External"/><Relationship Id="rId117" Type="http://schemas.openxmlformats.org/officeDocument/2006/relationships/hyperlink" Target="http://finance.sponser.co.il/finance/table/?s=505016" TargetMode="External"/><Relationship Id="rId118" Type="http://schemas.openxmlformats.org/officeDocument/2006/relationships/hyperlink" Target="http://finance.sponser.co.il/finance/table/?s=506022" TargetMode="External"/><Relationship Id="rId119" Type="http://schemas.openxmlformats.org/officeDocument/2006/relationships/hyperlink" Target="http://finance.sponser.co.il/finance/table/?s=507012" TargetMode="External"/><Relationship Id="rId280" Type="http://schemas.openxmlformats.org/officeDocument/2006/relationships/hyperlink" Target="http://finance.sponser.co.il/finance/table/?s=1093558" TargetMode="External"/><Relationship Id="rId281" Type="http://schemas.openxmlformats.org/officeDocument/2006/relationships/hyperlink" Target="http://finance.sponser.co.il/finance/table/?s=1094044" TargetMode="External"/><Relationship Id="rId282" Type="http://schemas.openxmlformats.org/officeDocument/2006/relationships/hyperlink" Target="http://finance.sponser.co.il/finance/table/?s=1094119" TargetMode="External"/><Relationship Id="rId283" Type="http://schemas.openxmlformats.org/officeDocument/2006/relationships/hyperlink" Target="http://finance.sponser.co.il/finance/table/?s=1094168" TargetMode="External"/><Relationship Id="rId284" Type="http://schemas.openxmlformats.org/officeDocument/2006/relationships/hyperlink" Target="http://finance.sponser.co.il/finance/table/?s=1094283" TargetMode="External"/><Relationship Id="rId285" Type="http://schemas.openxmlformats.org/officeDocument/2006/relationships/hyperlink" Target="http://finance.sponser.co.il/finance/table/?s=1094473" TargetMode="External"/><Relationship Id="rId286" Type="http://schemas.openxmlformats.org/officeDocument/2006/relationships/hyperlink" Target="http://finance.sponser.co.il/finance/table/?s=1094515" TargetMode="External"/><Relationship Id="rId287" Type="http://schemas.openxmlformats.org/officeDocument/2006/relationships/hyperlink" Target="http://finance.sponser.co.il/finance/table/?s=1094622" TargetMode="External"/><Relationship Id="rId288" Type="http://schemas.openxmlformats.org/officeDocument/2006/relationships/hyperlink" Target="http://finance.sponser.co.il/finance/table/?s=1094986" TargetMode="External"/><Relationship Id="rId289" Type="http://schemas.openxmlformats.org/officeDocument/2006/relationships/hyperlink" Target="http://finance.sponser.co.il/finance/table/?s=1095140" TargetMode="External"/><Relationship Id="rId340" Type="http://schemas.openxmlformats.org/officeDocument/2006/relationships/hyperlink" Target="http://finance.sponser.co.il/finance/table/?s=1104785" TargetMode="External"/><Relationship Id="rId341" Type="http://schemas.openxmlformats.org/officeDocument/2006/relationships/hyperlink" Target="http://finance.sponser.co.il/finance/table/?s=1104868" TargetMode="External"/><Relationship Id="rId342" Type="http://schemas.openxmlformats.org/officeDocument/2006/relationships/hyperlink" Target="http://finance.sponser.co.il/finance/table/?s=1104959" TargetMode="External"/><Relationship Id="rId343" Type="http://schemas.openxmlformats.org/officeDocument/2006/relationships/hyperlink" Target="http://finance.sponser.co.il/finance/table/?s=1105022" TargetMode="External"/><Relationship Id="rId344" Type="http://schemas.openxmlformats.org/officeDocument/2006/relationships/hyperlink" Target="http://finance.sponser.co.il/finance/table/?s=1105055" TargetMode="External"/><Relationship Id="rId345" Type="http://schemas.openxmlformats.org/officeDocument/2006/relationships/hyperlink" Target="http://finance.sponser.co.il/finance/table/?s=1105097" TargetMode="External"/><Relationship Id="rId346" Type="http://schemas.openxmlformats.org/officeDocument/2006/relationships/hyperlink" Target="http://finance.sponser.co.il/finance/table/?s=1105162" TargetMode="External"/><Relationship Id="rId347" Type="http://schemas.openxmlformats.org/officeDocument/2006/relationships/hyperlink" Target="http://finance.sponser.co.il/finance/table/?s=1105196" TargetMode="External"/><Relationship Id="rId348" Type="http://schemas.openxmlformats.org/officeDocument/2006/relationships/hyperlink" Target="http://finance.sponser.co.il/finance/table/?s=1105204" TargetMode="External"/><Relationship Id="rId349" Type="http://schemas.openxmlformats.org/officeDocument/2006/relationships/hyperlink" Target="http://finance.sponser.co.il/finance/table/?s=1106376" TargetMode="External"/><Relationship Id="rId400" Type="http://schemas.openxmlformats.org/officeDocument/2006/relationships/hyperlink" Target="http://finance.sponser.co.il/finance/table/?s=1136811" TargetMode="External"/><Relationship Id="rId401" Type="http://schemas.openxmlformats.org/officeDocument/2006/relationships/hyperlink" Target="http://finance.sponser.co.il/finance/table/?s=1137256" TargetMode="External"/><Relationship Id="rId402" Type="http://schemas.openxmlformats.org/officeDocument/2006/relationships/hyperlink" Target="http://finance.sponser.co.il/finance/table/?s=1138189" TargetMode="External"/><Relationship Id="rId403" Type="http://schemas.openxmlformats.org/officeDocument/2006/relationships/hyperlink" Target="http://finance.sponser.co.il/finance/table/?s=1138379" TargetMode="External"/><Relationship Id="rId404" Type="http://schemas.openxmlformats.org/officeDocument/2006/relationships/hyperlink" Target="http://finance.sponser.co.il/finance/table/?s=1138676" TargetMode="External"/><Relationship Id="rId405" Type="http://schemas.openxmlformats.org/officeDocument/2006/relationships/hyperlink" Target="http://finance.sponser.co.il/finance/table/?s=1139195" TargetMode="External"/><Relationship Id="rId406" Type="http://schemas.openxmlformats.org/officeDocument/2006/relationships/hyperlink" Target="http://finance.sponser.co.il/finance/table/?s=1210079" TargetMode="External"/><Relationship Id="rId407" Type="http://schemas.openxmlformats.org/officeDocument/2006/relationships/hyperlink" Target="http://finance.sponser.co.il/finance/table/?s=1820083" TargetMode="External"/><Relationship Id="rId408" Type="http://schemas.openxmlformats.org/officeDocument/2006/relationships/hyperlink" Target="http://finance.sponser.co.il/finance/table/?s=2590248" TargetMode="External"/><Relationship Id="rId409" Type="http://schemas.openxmlformats.org/officeDocument/2006/relationships/hyperlink" Target="http://finance.sponser.co.il/finance/table/?s=5010129" TargetMode="External"/><Relationship Id="rId120" Type="http://schemas.openxmlformats.org/officeDocument/2006/relationships/hyperlink" Target="http://finance.sponser.co.il/finance/table/?s=522011" TargetMode="External"/><Relationship Id="rId121" Type="http://schemas.openxmlformats.org/officeDocument/2006/relationships/hyperlink" Target="http://finance.sponser.co.il/finance/table/?s=526012" TargetMode="External"/><Relationship Id="rId122" Type="http://schemas.openxmlformats.org/officeDocument/2006/relationships/hyperlink" Target="http://finance.sponser.co.il/finance/table/?s=528018" TargetMode="External"/><Relationship Id="rId123" Type="http://schemas.openxmlformats.org/officeDocument/2006/relationships/hyperlink" Target="http://finance.sponser.co.il/finance/table/?s=530014" TargetMode="External"/><Relationship Id="rId124" Type="http://schemas.openxmlformats.org/officeDocument/2006/relationships/hyperlink" Target="http://finance.sponser.co.il/finance/table/?s=532010" TargetMode="External"/><Relationship Id="rId125" Type="http://schemas.openxmlformats.org/officeDocument/2006/relationships/hyperlink" Target="http://finance.sponser.co.il/finance/table/?s=536011" TargetMode="External"/><Relationship Id="rId80" Type="http://schemas.openxmlformats.org/officeDocument/2006/relationships/hyperlink" Target="http://finance.sponser.co.il/finance/table/?s=371013" TargetMode="External"/><Relationship Id="rId81" Type="http://schemas.openxmlformats.org/officeDocument/2006/relationships/hyperlink" Target="http://finance.sponser.co.il/finance/table/?s=373019" TargetMode="External"/><Relationship Id="rId82" Type="http://schemas.openxmlformats.org/officeDocument/2006/relationships/hyperlink" Target="http://finance.sponser.co.il/finance/table/?s=382010" TargetMode="External"/><Relationship Id="rId83" Type="http://schemas.openxmlformats.org/officeDocument/2006/relationships/hyperlink" Target="http://finance.sponser.co.il/finance/table/?s=384016" TargetMode="External"/><Relationship Id="rId84" Type="http://schemas.openxmlformats.org/officeDocument/2006/relationships/hyperlink" Target="http://finance.sponser.co.il/finance/table/?s=386011" TargetMode="External"/><Relationship Id="rId85" Type="http://schemas.openxmlformats.org/officeDocument/2006/relationships/hyperlink" Target="http://finance.sponser.co.il/finance/table/?s=387019" TargetMode="External"/><Relationship Id="rId86" Type="http://schemas.openxmlformats.org/officeDocument/2006/relationships/hyperlink" Target="http://finance.sponser.co.il/finance/table/?s=389015" TargetMode="External"/><Relationship Id="rId87" Type="http://schemas.openxmlformats.org/officeDocument/2006/relationships/hyperlink" Target="http://finance.sponser.co.il/finance/table/?s=390013" TargetMode="External"/><Relationship Id="rId88" Type="http://schemas.openxmlformats.org/officeDocument/2006/relationships/hyperlink" Target="http://finance.sponser.co.il/finance/table/?s=393017" TargetMode="External"/><Relationship Id="rId89" Type="http://schemas.openxmlformats.org/officeDocument/2006/relationships/hyperlink" Target="http://finance.sponser.co.il/finance/table/?s=394015" TargetMode="External"/><Relationship Id="rId126" Type="http://schemas.openxmlformats.org/officeDocument/2006/relationships/hyperlink" Target="http://finance.sponser.co.il/finance/table/?s=539015" TargetMode="External"/><Relationship Id="rId127" Type="http://schemas.openxmlformats.org/officeDocument/2006/relationships/hyperlink" Target="http://finance.sponser.co.il/finance/table/?s=543017" TargetMode="External"/><Relationship Id="rId128" Type="http://schemas.openxmlformats.org/officeDocument/2006/relationships/hyperlink" Target="http://finance.sponser.co.il/finance/table/?s=544015" TargetMode="External"/><Relationship Id="rId129" Type="http://schemas.openxmlformats.org/officeDocument/2006/relationships/hyperlink" Target="http://finance.sponser.co.il/finance/table/?s=550012" TargetMode="External"/><Relationship Id="rId290" Type="http://schemas.openxmlformats.org/officeDocument/2006/relationships/hyperlink" Target="http://finance.sponser.co.il/finance/table/?s=1095223" TargetMode="External"/><Relationship Id="rId291" Type="http://schemas.openxmlformats.org/officeDocument/2006/relationships/hyperlink" Target="http://finance.sponser.co.il/finance/table/?s=1095264" TargetMode="External"/><Relationship Id="rId292" Type="http://schemas.openxmlformats.org/officeDocument/2006/relationships/hyperlink" Target="http://finance.sponser.co.il/finance/table/?s=1095405" TargetMode="External"/><Relationship Id="rId293" Type="http://schemas.openxmlformats.org/officeDocument/2006/relationships/hyperlink" Target="http://finance.sponser.co.il/finance/table/?s=1095785" TargetMode="External"/><Relationship Id="rId294" Type="http://schemas.openxmlformats.org/officeDocument/2006/relationships/hyperlink" Target="http://finance.sponser.co.il/finance/table/?s=1095819" TargetMode="External"/><Relationship Id="rId295" Type="http://schemas.openxmlformats.org/officeDocument/2006/relationships/hyperlink" Target="http://finance.sponser.co.il/finance/table/?s=1095835" TargetMode="External"/><Relationship Id="rId296" Type="http://schemas.openxmlformats.org/officeDocument/2006/relationships/hyperlink" Target="http://finance.sponser.co.il/finance/table/?s=1095892" TargetMode="External"/><Relationship Id="rId297" Type="http://schemas.openxmlformats.org/officeDocument/2006/relationships/hyperlink" Target="http://finance.sponser.co.il/finance/table/?s=1096049" TargetMode="External"/><Relationship Id="rId298" Type="http://schemas.openxmlformats.org/officeDocument/2006/relationships/hyperlink" Target="http://finance.sponser.co.il/finance/table/?s=1096106" TargetMode="External"/><Relationship Id="rId299" Type="http://schemas.openxmlformats.org/officeDocument/2006/relationships/hyperlink" Target="http://finance.sponser.co.il/finance/table/?s=1096148" TargetMode="External"/><Relationship Id="rId350" Type="http://schemas.openxmlformats.org/officeDocument/2006/relationships/hyperlink" Target="http://finance.sponser.co.il/finance/table/?s=1106855" TargetMode="External"/><Relationship Id="rId351" Type="http://schemas.openxmlformats.org/officeDocument/2006/relationships/hyperlink" Target="http://finance.sponser.co.il/finance/table/?s=1107663" TargetMode="External"/><Relationship Id="rId352" Type="http://schemas.openxmlformats.org/officeDocument/2006/relationships/hyperlink" Target="http://finance.sponser.co.il/finance/table/?s=1109644" TargetMode="External"/><Relationship Id="rId353" Type="http://schemas.openxmlformats.org/officeDocument/2006/relationships/hyperlink" Target="http://finance.sponser.co.il/finance/table/?s=1109917" TargetMode="External"/><Relationship Id="rId354" Type="http://schemas.openxmlformats.org/officeDocument/2006/relationships/hyperlink" Target="http://finance.sponser.co.il/finance/table/?s=1109966" TargetMode="External"/><Relationship Id="rId355" Type="http://schemas.openxmlformats.org/officeDocument/2006/relationships/hyperlink" Target="http://finance.sponser.co.il/finance/table/?s=1116177" TargetMode="External"/><Relationship Id="rId356" Type="http://schemas.openxmlformats.org/officeDocument/2006/relationships/hyperlink" Target="http://finance.sponser.co.il/finance/table/?s=1117688" TargetMode="External"/><Relationship Id="rId357" Type="http://schemas.openxmlformats.org/officeDocument/2006/relationships/hyperlink" Target="http://finance.sponser.co.il/finance/table/?s=1117795" TargetMode="External"/><Relationship Id="rId358" Type="http://schemas.openxmlformats.org/officeDocument/2006/relationships/hyperlink" Target="http://finance.sponser.co.il/finance/table/?s=1118447" TargetMode="External"/><Relationship Id="rId359" Type="http://schemas.openxmlformats.org/officeDocument/2006/relationships/hyperlink" Target="http://finance.sponser.co.il/finance/table/?s=1118470" TargetMode="External"/><Relationship Id="rId410" Type="http://schemas.openxmlformats.org/officeDocument/2006/relationships/hyperlink" Target="http://finance.sponser.co.il/finance/table/?s=5550157" TargetMode="External"/><Relationship Id="rId411" Type="http://schemas.openxmlformats.org/officeDocument/2006/relationships/queryTable" Target="../queryTables/queryTable1.xml"/><Relationship Id="rId412" Type="http://schemas.openxmlformats.org/officeDocument/2006/relationships/queryTable" Target="../queryTables/queryTable2.xml"/><Relationship Id="rId130" Type="http://schemas.openxmlformats.org/officeDocument/2006/relationships/hyperlink" Target="http://finance.sponser.co.il/finance/table/?s=565010" TargetMode="External"/><Relationship Id="rId131" Type="http://schemas.openxmlformats.org/officeDocument/2006/relationships/hyperlink" Target="http://finance.sponser.co.il/finance/table/?s=566018" TargetMode="External"/><Relationship Id="rId132" Type="http://schemas.openxmlformats.org/officeDocument/2006/relationships/hyperlink" Target="http://finance.sponser.co.il/finance/table/?s=573014" TargetMode="External"/><Relationship Id="rId133" Type="http://schemas.openxmlformats.org/officeDocument/2006/relationships/hyperlink" Target="http://finance.sponser.co.il/finance/table/?s=576017" TargetMode="External"/><Relationship Id="rId134" Type="http://schemas.openxmlformats.org/officeDocument/2006/relationships/hyperlink" Target="http://finance.sponser.co.il/finance/table/?s=578013" TargetMode="External"/><Relationship Id="rId135" Type="http://schemas.openxmlformats.org/officeDocument/2006/relationships/hyperlink" Target="http://finance.sponser.co.il/finance/table/?s=583013" TargetMode="External"/><Relationship Id="rId90" Type="http://schemas.openxmlformats.org/officeDocument/2006/relationships/hyperlink" Target="http://finance.sponser.co.il/finance/table/?s=399014" TargetMode="External"/><Relationship Id="rId91" Type="http://schemas.openxmlformats.org/officeDocument/2006/relationships/hyperlink" Target="http://finance.sponser.co.il/finance/table/?s=400010" TargetMode="External"/><Relationship Id="rId92" Type="http://schemas.openxmlformats.org/officeDocument/2006/relationships/hyperlink" Target="http://finance.sponser.co.il/finance/table/?s=413013" TargetMode="External"/><Relationship Id="rId93" Type="http://schemas.openxmlformats.org/officeDocument/2006/relationships/hyperlink" Target="http://finance.sponser.co.il/finance/table/?s=416016" TargetMode="External"/><Relationship Id="rId94" Type="http://schemas.openxmlformats.org/officeDocument/2006/relationships/hyperlink" Target="http://finance.sponser.co.il/finance/table/?s=421016" TargetMode="External"/><Relationship Id="rId95" Type="http://schemas.openxmlformats.org/officeDocument/2006/relationships/hyperlink" Target="http://finance.sponser.co.il/finance/table/?s=422014" TargetMode="External"/><Relationship Id="rId96" Type="http://schemas.openxmlformats.org/officeDocument/2006/relationships/hyperlink" Target="http://finance.sponser.co.il/finance/table/?s=424010" TargetMode="External"/><Relationship Id="rId97" Type="http://schemas.openxmlformats.org/officeDocument/2006/relationships/hyperlink" Target="http://finance.sponser.co.il/finance/table/?s=425017" TargetMode="External"/><Relationship Id="rId98" Type="http://schemas.openxmlformats.org/officeDocument/2006/relationships/hyperlink" Target="http://finance.sponser.co.il/finance/table/?s=431015" TargetMode="External"/><Relationship Id="rId99" Type="http://schemas.openxmlformats.org/officeDocument/2006/relationships/hyperlink" Target="http://finance.sponser.co.il/finance/table/?s=433011" TargetMode="External"/><Relationship Id="rId136" Type="http://schemas.openxmlformats.org/officeDocument/2006/relationships/hyperlink" Target="http://finance.sponser.co.il/finance/table/?s=584011" TargetMode="External"/><Relationship Id="rId137" Type="http://schemas.openxmlformats.org/officeDocument/2006/relationships/hyperlink" Target="http://finance.sponser.co.il/finance/table/?s=585018" TargetMode="External"/><Relationship Id="rId138" Type="http://schemas.openxmlformats.org/officeDocument/2006/relationships/hyperlink" Target="http://finance.sponser.co.il/finance/table/?s=587014" TargetMode="External"/><Relationship Id="rId139" Type="http://schemas.openxmlformats.org/officeDocument/2006/relationships/hyperlink" Target="http://finance.sponser.co.il/finance/table/?s=589010" TargetMode="External"/><Relationship Id="rId360" Type="http://schemas.openxmlformats.org/officeDocument/2006/relationships/hyperlink" Target="http://finance.sponser.co.il/finance/table/?s=1119080" TargetMode="External"/><Relationship Id="rId361" Type="http://schemas.openxmlformats.org/officeDocument/2006/relationships/hyperlink" Target="http://finance.sponser.co.il/finance/table/?s=1119478" TargetMode="External"/><Relationship Id="rId362" Type="http://schemas.openxmlformats.org/officeDocument/2006/relationships/hyperlink" Target="http://finance.sponser.co.il/finance/table/?s=1119593" TargetMode="External"/><Relationship Id="rId363" Type="http://schemas.openxmlformats.org/officeDocument/2006/relationships/hyperlink" Target="http://finance.sponser.co.il/finance/table/?s=1119924" TargetMode="External"/><Relationship Id="rId364" Type="http://schemas.openxmlformats.org/officeDocument/2006/relationships/hyperlink" Target="http://finance.sponser.co.il/finance/table/?s=1120161" TargetMode="External"/><Relationship Id="rId365" Type="http://schemas.openxmlformats.org/officeDocument/2006/relationships/hyperlink" Target="http://finance.sponser.co.il/finance/table/?s=1120609" TargetMode="External"/><Relationship Id="rId366" Type="http://schemas.openxmlformats.org/officeDocument/2006/relationships/hyperlink" Target="http://finance.sponser.co.il/finance/table/?s=1121300" TargetMode="External"/><Relationship Id="rId367" Type="http://schemas.openxmlformats.org/officeDocument/2006/relationships/hyperlink" Target="http://finance.sponser.co.il/finance/table/?s=1121474" TargetMode="External"/><Relationship Id="rId368" Type="http://schemas.openxmlformats.org/officeDocument/2006/relationships/hyperlink" Target="http://finance.sponser.co.il/finance/table/?s=1121607" TargetMode="External"/><Relationship Id="rId369" Type="http://schemas.openxmlformats.org/officeDocument/2006/relationships/hyperlink" Target="http://finance.sponser.co.il/finance/table/?s=1121730" TargetMode="External"/><Relationship Id="rId140" Type="http://schemas.openxmlformats.org/officeDocument/2006/relationships/hyperlink" Target="http://finance.sponser.co.il/finance/table/?s=593038" TargetMode="External"/><Relationship Id="rId141" Type="http://schemas.openxmlformats.org/officeDocument/2006/relationships/hyperlink" Target="http://finance.sponser.co.il/finance/table/?s=599019" TargetMode="External"/><Relationship Id="rId142" Type="http://schemas.openxmlformats.org/officeDocument/2006/relationships/hyperlink" Target="http://finance.sponser.co.il/finance/table/?s=601013" TargetMode="External"/><Relationship Id="rId143" Type="http://schemas.openxmlformats.org/officeDocument/2006/relationships/hyperlink" Target="http://finance.sponser.co.il/finance/table/?s=604611" TargetMode="External"/><Relationship Id="rId144" Type="http://schemas.openxmlformats.org/officeDocument/2006/relationships/hyperlink" Target="http://finance.sponser.co.il/finance/table/?s=611012" TargetMode="External"/><Relationship Id="rId145" Type="http://schemas.openxmlformats.org/officeDocument/2006/relationships/hyperlink" Target="http://finance.sponser.co.il/finance/table/?s=612010" TargetMode="External"/><Relationship Id="rId146" Type="http://schemas.openxmlformats.org/officeDocument/2006/relationships/hyperlink" Target="http://finance.sponser.co.il/finance/table/?s=613034" TargetMode="External"/><Relationship Id="rId147" Type="http://schemas.openxmlformats.org/officeDocument/2006/relationships/hyperlink" Target="http://finance.sponser.co.il/finance/table/?s=621011" TargetMode="External"/><Relationship Id="rId148" Type="http://schemas.openxmlformats.org/officeDocument/2006/relationships/hyperlink" Target="http://finance.sponser.co.il/finance/table/?s=625012" TargetMode="External"/><Relationship Id="rId149" Type="http://schemas.openxmlformats.org/officeDocument/2006/relationships/hyperlink" Target="http://finance.sponser.co.il/finance/table/?s=627034" TargetMode="External"/><Relationship Id="rId200" Type="http://schemas.openxmlformats.org/officeDocument/2006/relationships/hyperlink" Target="http://finance.sponser.co.il/finance/table/?s=824011" TargetMode="External"/><Relationship Id="rId201" Type="http://schemas.openxmlformats.org/officeDocument/2006/relationships/hyperlink" Target="http://finance.sponser.co.il/finance/table/?s=826016" TargetMode="External"/><Relationship Id="rId202" Type="http://schemas.openxmlformats.org/officeDocument/2006/relationships/hyperlink" Target="http://finance.sponser.co.il/finance/table/?s=829010" TargetMode="External"/><Relationship Id="rId203" Type="http://schemas.openxmlformats.org/officeDocument/2006/relationships/hyperlink" Target="http://finance.sponser.co.il/finance/table/?s=1080241" TargetMode="External"/><Relationship Id="rId204" Type="http://schemas.openxmlformats.org/officeDocument/2006/relationships/hyperlink" Target="http://finance.sponser.co.il/finance/table/?s=1080324" TargetMode="External"/><Relationship Id="rId205" Type="http://schemas.openxmlformats.org/officeDocument/2006/relationships/hyperlink" Target="http://finance.sponser.co.il/finance/table/?s=1080456" TargetMode="External"/><Relationship Id="rId206" Type="http://schemas.openxmlformats.org/officeDocument/2006/relationships/hyperlink" Target="http://finance.sponser.co.il/finance/table/?s=1080597" TargetMode="External"/><Relationship Id="rId207" Type="http://schemas.openxmlformats.org/officeDocument/2006/relationships/hyperlink" Target="http://finance.sponser.co.il/finance/table/?s=1080605" TargetMode="External"/><Relationship Id="rId208" Type="http://schemas.openxmlformats.org/officeDocument/2006/relationships/hyperlink" Target="http://finance.sponser.co.il/finance/table/?s=1080613" TargetMode="External"/><Relationship Id="rId209" Type="http://schemas.openxmlformats.org/officeDocument/2006/relationships/hyperlink" Target="http://finance.sponser.co.il/finance/table/?s=1080688" TargetMode="External"/><Relationship Id="rId370" Type="http://schemas.openxmlformats.org/officeDocument/2006/relationships/hyperlink" Target="http://finance.sponser.co.il/finance/table/?s=1122381" TargetMode="External"/><Relationship Id="rId371" Type="http://schemas.openxmlformats.org/officeDocument/2006/relationships/hyperlink" Target="http://finance.sponser.co.il/finance/table/?s=1122415" TargetMode="External"/><Relationship Id="rId372" Type="http://schemas.openxmlformats.org/officeDocument/2006/relationships/hyperlink" Target="http://finance.sponser.co.il/finance/table/?s=1122654" TargetMode="External"/><Relationship Id="rId373" Type="http://schemas.openxmlformats.org/officeDocument/2006/relationships/hyperlink" Target="http://finance.sponser.co.il/finance/table/?s=1123017" TargetMode="External"/><Relationship Id="rId374" Type="http://schemas.openxmlformats.org/officeDocument/2006/relationships/hyperlink" Target="http://finance.sponser.co.il/finance/table/?s=1123355" TargetMode="External"/><Relationship Id="rId375" Type="http://schemas.openxmlformats.org/officeDocument/2006/relationships/hyperlink" Target="http://finance.sponser.co.il/finance/table/?s=1123777" TargetMode="External"/><Relationship Id="rId376" Type="http://schemas.openxmlformats.org/officeDocument/2006/relationships/hyperlink" Target="http://finance.sponser.co.il/finance/table/?s=1123850" TargetMode="External"/><Relationship Id="rId377" Type="http://schemas.openxmlformats.org/officeDocument/2006/relationships/hyperlink" Target="http://finance.sponser.co.il/finance/table/?s=1124478" TargetMode="External"/><Relationship Id="rId378" Type="http://schemas.openxmlformats.org/officeDocument/2006/relationships/hyperlink" Target="http://finance.sponser.co.il/finance/table/?s=1126226" TargetMode="External"/><Relationship Id="rId379" Type="http://schemas.openxmlformats.org/officeDocument/2006/relationships/hyperlink" Target="http://finance.sponser.co.il/finance/table/?s=1126788" TargetMode="External"/><Relationship Id="rId150" Type="http://schemas.openxmlformats.org/officeDocument/2006/relationships/hyperlink" Target="http://finance.sponser.co.il/finance/table/?s=629014" TargetMode="External"/><Relationship Id="rId151" Type="http://schemas.openxmlformats.org/officeDocument/2006/relationships/hyperlink" Target="http://finance.sponser.co.il/finance/table/?s=632018" TargetMode="External"/><Relationship Id="rId152" Type="http://schemas.openxmlformats.org/officeDocument/2006/relationships/hyperlink" Target="http://finance.sponser.co.il/finance/table/?s=634030" TargetMode="External"/><Relationship Id="rId153" Type="http://schemas.openxmlformats.org/officeDocument/2006/relationships/hyperlink" Target="http://finance.sponser.co.il/finance/table/?s=639013" TargetMode="External"/><Relationship Id="rId154" Type="http://schemas.openxmlformats.org/officeDocument/2006/relationships/hyperlink" Target="http://finance.sponser.co.il/finance/table/?s=642017" TargetMode="External"/><Relationship Id="rId155" Type="http://schemas.openxmlformats.org/officeDocument/2006/relationships/hyperlink" Target="http://finance.sponser.co.il/finance/table/?s=643015" TargetMode="External"/><Relationship Id="rId156" Type="http://schemas.openxmlformats.org/officeDocument/2006/relationships/hyperlink" Target="http://finance.sponser.co.il/finance/table/?s=644013" TargetMode="External"/><Relationship Id="rId157" Type="http://schemas.openxmlformats.org/officeDocument/2006/relationships/hyperlink" Target="http://finance.sponser.co.il/finance/table/?s=654012" TargetMode="External"/><Relationship Id="rId158" Type="http://schemas.openxmlformats.org/officeDocument/2006/relationships/hyperlink" Target="http://finance.sponser.co.il/finance/table/?s=660019" TargetMode="External"/><Relationship Id="rId159" Type="http://schemas.openxmlformats.org/officeDocument/2006/relationships/hyperlink" Target="http://finance.sponser.co.il/finance/table/?s=662577" TargetMode="External"/><Relationship Id="rId210" Type="http://schemas.openxmlformats.org/officeDocument/2006/relationships/hyperlink" Target="http://finance.sponser.co.il/finance/table/?s=1080753" TargetMode="External"/><Relationship Id="rId211" Type="http://schemas.openxmlformats.org/officeDocument/2006/relationships/hyperlink" Target="http://finance.sponser.co.il/finance/table/?s=1080837" TargetMode="External"/><Relationship Id="rId212" Type="http://schemas.openxmlformats.org/officeDocument/2006/relationships/hyperlink" Target="http://finance.sponser.co.il/finance/table/?s=1080928" TargetMode="External"/><Relationship Id="rId213" Type="http://schemas.openxmlformats.org/officeDocument/2006/relationships/hyperlink" Target="http://finance.sponser.co.il/finance/table/?s=1080951" TargetMode="External"/><Relationship Id="rId214" Type="http://schemas.openxmlformats.org/officeDocument/2006/relationships/hyperlink" Target="http://finance.sponser.co.il/finance/table/?s=1080985" TargetMode="External"/><Relationship Id="rId215" Type="http://schemas.openxmlformats.org/officeDocument/2006/relationships/hyperlink" Target="http://finance.sponser.co.il/finance/table/?s=1081009" TargetMode="External"/><Relationship Id="rId216" Type="http://schemas.openxmlformats.org/officeDocument/2006/relationships/hyperlink" Target="http://finance.sponser.co.il/finance/table/?s=1081074" TargetMode="External"/><Relationship Id="rId217" Type="http://schemas.openxmlformats.org/officeDocument/2006/relationships/hyperlink" Target="http://finance.sponser.co.il/finance/table/?s=1081082" TargetMode="External"/><Relationship Id="rId218" Type="http://schemas.openxmlformats.org/officeDocument/2006/relationships/hyperlink" Target="http://finance.sponser.co.il/finance/table/?s=1081116" TargetMode="External"/><Relationship Id="rId219" Type="http://schemas.openxmlformats.org/officeDocument/2006/relationships/hyperlink" Target="http://finance.sponser.co.il/finance/table/?s=1081124" TargetMode="External"/><Relationship Id="rId380" Type="http://schemas.openxmlformats.org/officeDocument/2006/relationships/hyperlink" Target="http://finance.sponser.co.il/finance/table/?s=1128461" TargetMode="External"/><Relationship Id="rId381" Type="http://schemas.openxmlformats.org/officeDocument/2006/relationships/hyperlink" Target="http://finance.sponser.co.il/finance/table/?s=1129444" TargetMode="External"/><Relationship Id="rId382" Type="http://schemas.openxmlformats.org/officeDocument/2006/relationships/hyperlink" Target="http://finance.sponser.co.il/finance/table/?s=1129451" TargetMode="External"/><Relationship Id="rId383" Type="http://schemas.openxmlformats.org/officeDocument/2006/relationships/hyperlink" Target="http://finance.sponser.co.il/finance/table/?s=1129501" TargetMode="External"/><Relationship Id="rId384" Type="http://schemas.openxmlformats.org/officeDocument/2006/relationships/hyperlink" Target="http://finance.sponser.co.il/finance/table/?s=1129543" TargetMode="External"/><Relationship Id="rId385" Type="http://schemas.openxmlformats.org/officeDocument/2006/relationships/hyperlink" Target="http://finance.sponser.co.il/finance/table/?s=1130699" TargetMode="External"/><Relationship Id="rId386" Type="http://schemas.openxmlformats.org/officeDocument/2006/relationships/hyperlink" Target="http://finance.sponser.co.il/finance/table/?s=1131523" TargetMode="External"/><Relationship Id="rId387" Type="http://schemas.openxmlformats.org/officeDocument/2006/relationships/hyperlink" Target="http://finance.sponser.co.il/finance/table/?s=1131556" TargetMode="External"/><Relationship Id="rId388" Type="http://schemas.openxmlformats.org/officeDocument/2006/relationships/hyperlink" Target="http://finance.sponser.co.il/finance/table/?s=1131697" TargetMode="External"/><Relationship Id="rId389" Type="http://schemas.openxmlformats.org/officeDocument/2006/relationships/hyperlink" Target="http://finance.sponser.co.il/finance/table/?s=1132315" TargetMode="External"/><Relationship Id="rId10" Type="http://schemas.openxmlformats.org/officeDocument/2006/relationships/hyperlink" Target="http://finance.sponser.co.il/finance/table/?s=126011" TargetMode="External"/><Relationship Id="rId11" Type="http://schemas.openxmlformats.org/officeDocument/2006/relationships/hyperlink" Target="http://finance.sponser.co.il/finance/table/?s=127019" TargetMode="External"/><Relationship Id="rId12" Type="http://schemas.openxmlformats.org/officeDocument/2006/relationships/hyperlink" Target="http://finance.sponser.co.il/finance/table/?s=130013" TargetMode="External"/><Relationship Id="rId13" Type="http://schemas.openxmlformats.org/officeDocument/2006/relationships/hyperlink" Target="http://finance.sponser.co.il/finance/table/?s=134015" TargetMode="External"/><Relationship Id="rId14" Type="http://schemas.openxmlformats.org/officeDocument/2006/relationships/hyperlink" Target="http://finance.sponser.co.il/finance/table/?s=136010" TargetMode="External"/><Relationship Id="rId15" Type="http://schemas.openxmlformats.org/officeDocument/2006/relationships/hyperlink" Target="http://finance.sponser.co.il/finance/table/?s=142018" TargetMode="External"/><Relationship Id="rId16" Type="http://schemas.openxmlformats.org/officeDocument/2006/relationships/hyperlink" Target="http://finance.sponser.co.il/finance/table/?s=149013" TargetMode="External"/><Relationship Id="rId17" Type="http://schemas.openxmlformats.org/officeDocument/2006/relationships/hyperlink" Target="http://finance.sponser.co.il/finance/table/?s=150011" TargetMode="External"/><Relationship Id="rId18" Type="http://schemas.openxmlformats.org/officeDocument/2006/relationships/hyperlink" Target="http://finance.sponser.co.il/finance/table/?s=155036" TargetMode="External"/><Relationship Id="rId19" Type="http://schemas.openxmlformats.org/officeDocument/2006/relationships/hyperlink" Target="http://finance.sponser.co.il/finance/table/?s=156018" TargetMode="External"/><Relationship Id="rId160" Type="http://schemas.openxmlformats.org/officeDocument/2006/relationships/hyperlink" Target="http://finance.sponser.co.il/finance/table/?s=666016" TargetMode="External"/><Relationship Id="rId161" Type="http://schemas.openxmlformats.org/officeDocument/2006/relationships/hyperlink" Target="http://finance.sponser.co.il/finance/table/?s=669010" TargetMode="External"/><Relationship Id="rId162" Type="http://schemas.openxmlformats.org/officeDocument/2006/relationships/hyperlink" Target="http://finance.sponser.co.il/finance/table/?s=673012" TargetMode="External"/><Relationship Id="rId163" Type="http://schemas.openxmlformats.org/officeDocument/2006/relationships/hyperlink" Target="http://finance.sponser.co.il/finance/table/?s=675017" TargetMode="External"/><Relationship Id="rId164" Type="http://schemas.openxmlformats.org/officeDocument/2006/relationships/hyperlink" Target="http://finance.sponser.co.il/finance/table/?s=691212" TargetMode="External"/><Relationship Id="rId165" Type="http://schemas.openxmlformats.org/officeDocument/2006/relationships/hyperlink" Target="http://finance.sponser.co.il/finance/table/?s=694034" TargetMode="External"/><Relationship Id="rId166" Type="http://schemas.openxmlformats.org/officeDocument/2006/relationships/hyperlink" Target="http://finance.sponser.co.il/finance/table/?s=695437" TargetMode="External"/><Relationship Id="rId167" Type="http://schemas.openxmlformats.org/officeDocument/2006/relationships/hyperlink" Target="http://finance.sponser.co.il/finance/table/?s=699017" TargetMode="External"/><Relationship Id="rId168" Type="http://schemas.openxmlformats.org/officeDocument/2006/relationships/hyperlink" Target="http://finance.sponser.co.il/finance/table/?s=704015" TargetMode="External"/><Relationship Id="rId169" Type="http://schemas.openxmlformats.org/officeDocument/2006/relationships/hyperlink" Target="http://finance.sponser.co.il/finance/table/?s=711010" TargetMode="External"/><Relationship Id="rId220" Type="http://schemas.openxmlformats.org/officeDocument/2006/relationships/hyperlink" Target="http://finance.sponser.co.il/finance/table/?s=1081165" TargetMode="External"/><Relationship Id="rId221" Type="http://schemas.openxmlformats.org/officeDocument/2006/relationships/hyperlink" Target="http://finance.sponser.co.il/finance/table/?s=1081439" TargetMode="External"/><Relationship Id="rId222" Type="http://schemas.openxmlformats.org/officeDocument/2006/relationships/hyperlink" Target="http://finance.sponser.co.il/finance/table/?s=1081561" TargetMode="External"/><Relationship Id="rId223" Type="http://schemas.openxmlformats.org/officeDocument/2006/relationships/hyperlink" Target="http://finance.sponser.co.il/finance/table/?s=1081603" TargetMode="External"/><Relationship Id="rId224" Type="http://schemas.openxmlformats.org/officeDocument/2006/relationships/hyperlink" Target="http://finance.sponser.co.il/finance/table/?s=1081686" TargetMode="External"/><Relationship Id="rId225" Type="http://schemas.openxmlformats.org/officeDocument/2006/relationships/hyperlink" Target="http://finance.sponser.co.il/finance/table/?s=1081843" TargetMode="External"/><Relationship Id="rId226" Type="http://schemas.openxmlformats.org/officeDocument/2006/relationships/hyperlink" Target="http://finance.sponser.co.il/finance/table/?s=1081942" TargetMode="External"/><Relationship Id="rId227" Type="http://schemas.openxmlformats.org/officeDocument/2006/relationships/hyperlink" Target="http://finance.sponser.co.il/finance/table/?s=1082007" TargetMode="External"/><Relationship Id="rId228" Type="http://schemas.openxmlformats.org/officeDocument/2006/relationships/hyperlink" Target="http://finance.sponser.co.il/finance/table/?s=1082312" TargetMode="External"/><Relationship Id="rId229" Type="http://schemas.openxmlformats.org/officeDocument/2006/relationships/hyperlink" Target="http://finance.sponser.co.il/finance/table/?s=1082353" TargetMode="External"/><Relationship Id="rId390" Type="http://schemas.openxmlformats.org/officeDocument/2006/relationships/hyperlink" Target="http://finance.sponser.co.il/finance/table/?s=1132356" TargetMode="External"/><Relationship Id="rId391" Type="http://schemas.openxmlformats.org/officeDocument/2006/relationships/hyperlink" Target="http://finance.sponser.co.il/finance/table/?s=1133875" TargetMode="External"/><Relationship Id="rId392" Type="http://schemas.openxmlformats.org/officeDocument/2006/relationships/hyperlink" Target="http://finance.sponser.co.il/finance/table/?s=1134139" TargetMode="External"/><Relationship Id="rId393" Type="http://schemas.openxmlformats.org/officeDocument/2006/relationships/hyperlink" Target="http://finance.sponser.co.il/finance/table/?s=1134402" TargetMode="External"/><Relationship Id="rId394" Type="http://schemas.openxmlformats.org/officeDocument/2006/relationships/hyperlink" Target="http://finance.sponser.co.il/finance/table/?s=1135169" TargetMode="External"/><Relationship Id="rId395" Type="http://schemas.openxmlformats.org/officeDocument/2006/relationships/hyperlink" Target="http://finance.sponser.co.il/finance/table/?s=1135706" TargetMode="External"/><Relationship Id="rId396" Type="http://schemas.openxmlformats.org/officeDocument/2006/relationships/hyperlink" Target="http://finance.sponser.co.il/finance/table/?s=1136274" TargetMode="External"/><Relationship Id="rId397" Type="http://schemas.openxmlformats.org/officeDocument/2006/relationships/hyperlink" Target="http://finance.sponser.co.il/finance/table/?s=1136365" TargetMode="External"/><Relationship Id="rId398" Type="http://schemas.openxmlformats.org/officeDocument/2006/relationships/hyperlink" Target="http://finance.sponser.co.il/finance/table/?s=1136639" TargetMode="External"/><Relationship Id="rId399" Type="http://schemas.openxmlformats.org/officeDocument/2006/relationships/hyperlink" Target="http://finance.sponser.co.il/finance/table/?s=1136704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430"/>
  <sheetViews>
    <sheetView workbookViewId="0">
      <selection activeCell="A22" sqref="A22"/>
    </sheetView>
  </sheetViews>
  <sheetFormatPr baseColWidth="10" defaultRowHeight="16" x14ac:dyDescent="0.2"/>
  <cols>
    <col min="1" max="1" width="80.6640625" bestFit="1" customWidth="1"/>
    <col min="3" max="3" width="12.5" customWidth="1"/>
    <col min="4" max="5" width="17.1640625" customWidth="1"/>
    <col min="7" max="7" width="55.83203125" bestFit="1" customWidth="1"/>
    <col min="9" max="9" width="54" bestFit="1" customWidth="1"/>
    <col min="11" max="11" width="8.1640625" customWidth="1"/>
    <col min="12" max="14" width="7.83203125" customWidth="1"/>
    <col min="15" max="15" width="9.33203125" customWidth="1"/>
  </cols>
  <sheetData>
    <row r="1" spans="1:16" ht="33" customHeight="1" thickBot="1" x14ac:dyDescent="0.25">
      <c r="A1" s="5" t="s">
        <v>0</v>
      </c>
      <c r="B1" s="6"/>
      <c r="C1" s="31"/>
    </row>
    <row r="2" spans="1:16" ht="18" thickTop="1" thickBot="1" x14ac:dyDescent="0.25"/>
    <row r="3" spans="1:16" ht="33" thickBot="1" x14ac:dyDescent="0.25">
      <c r="A3" s="32" t="s">
        <v>1</v>
      </c>
      <c r="B3" s="13" t="s">
        <v>2</v>
      </c>
      <c r="C3" s="33" t="s">
        <v>3</v>
      </c>
      <c r="D3" s="7" t="s">
        <v>4</v>
      </c>
      <c r="E3" s="34" t="s">
        <v>5</v>
      </c>
      <c r="F3" s="7" t="s">
        <v>6</v>
      </c>
      <c r="G3" s="7" t="s">
        <v>7</v>
      </c>
      <c r="H3" s="7" t="s">
        <v>8</v>
      </c>
      <c r="I3" s="11"/>
      <c r="J3" s="11"/>
      <c r="K3" s="11"/>
      <c r="L3" s="11"/>
      <c r="M3" s="11"/>
      <c r="N3" s="11"/>
      <c r="O3" s="12"/>
      <c r="P3" s="12"/>
    </row>
    <row r="4" spans="1:16" ht="49" thickBot="1" x14ac:dyDescent="0.25">
      <c r="A4" s="35" t="s">
        <v>9</v>
      </c>
      <c r="B4" s="36">
        <v>300.39999999999998</v>
      </c>
      <c r="C4" s="37">
        <v>-0.23</v>
      </c>
      <c r="D4" s="38">
        <v>0.16</v>
      </c>
      <c r="E4" s="39">
        <v>-0.43</v>
      </c>
      <c r="F4" s="39">
        <v>-5.53</v>
      </c>
      <c r="G4" s="40">
        <v>3.39</v>
      </c>
      <c r="H4" s="66">
        <v>0</v>
      </c>
      <c r="I4" s="80" t="s">
        <v>3</v>
      </c>
      <c r="J4" s="81"/>
      <c r="K4" s="7" t="s">
        <v>4</v>
      </c>
      <c r="L4" s="7" t="s">
        <v>5</v>
      </c>
      <c r="M4" s="7" t="s">
        <v>6</v>
      </c>
      <c r="N4" s="7" t="s">
        <v>7</v>
      </c>
      <c r="O4" s="13" t="s">
        <v>8</v>
      </c>
      <c r="P4" s="18"/>
    </row>
    <row r="5" spans="1:16" ht="17" thickBot="1" x14ac:dyDescent="0.25">
      <c r="A5" s="41" t="s">
        <v>10</v>
      </c>
      <c r="B5" s="36">
        <v>29.7</v>
      </c>
      <c r="C5" s="42">
        <v>0</v>
      </c>
      <c r="D5" s="43">
        <v>0</v>
      </c>
      <c r="E5" s="44">
        <v>-0.67</v>
      </c>
      <c r="F5" s="45">
        <v>0</v>
      </c>
      <c r="G5" s="46">
        <v>17.39</v>
      </c>
      <c r="H5" s="67">
        <v>0</v>
      </c>
      <c r="I5" s="91">
        <v>-0.23</v>
      </c>
      <c r="J5" s="92"/>
      <c r="K5" s="8">
        <v>0.16</v>
      </c>
      <c r="L5" s="9">
        <v>-0.43</v>
      </c>
      <c r="M5" s="9">
        <v>-5.53</v>
      </c>
      <c r="N5" s="10">
        <v>3.39</v>
      </c>
      <c r="O5" s="14">
        <v>0.60138888888888886</v>
      </c>
      <c r="P5" s="18"/>
    </row>
    <row r="6" spans="1:16" ht="17" thickBot="1" x14ac:dyDescent="0.25">
      <c r="A6" s="35" t="s">
        <v>11</v>
      </c>
      <c r="B6" s="36">
        <v>3670</v>
      </c>
      <c r="C6" s="47">
        <v>-0.54</v>
      </c>
      <c r="D6" s="48">
        <v>4.28</v>
      </c>
      <c r="E6" s="49">
        <v>-0.08</v>
      </c>
      <c r="F6" s="49">
        <v>-4.3499999999999996</v>
      </c>
      <c r="G6" s="50">
        <v>9.34</v>
      </c>
      <c r="H6" s="68">
        <v>0</v>
      </c>
      <c r="I6" s="69"/>
      <c r="J6" s="70"/>
      <c r="K6" s="8">
        <v>0</v>
      </c>
      <c r="L6" s="9">
        <v>-0.67</v>
      </c>
      <c r="M6" s="10">
        <v>0</v>
      </c>
      <c r="N6" s="10">
        <v>17.39</v>
      </c>
      <c r="O6" s="14">
        <v>0.60138888888888886</v>
      </c>
      <c r="P6" s="18"/>
    </row>
    <row r="7" spans="1:16" ht="17" thickBot="1" x14ac:dyDescent="0.25">
      <c r="A7" s="52" t="s">
        <v>12</v>
      </c>
      <c r="B7" s="36">
        <v>7921</v>
      </c>
      <c r="C7" s="47">
        <v>-0.06</v>
      </c>
      <c r="D7" s="48">
        <v>0.14000000000000001</v>
      </c>
      <c r="E7" s="53">
        <v>0.01</v>
      </c>
      <c r="F7" s="53">
        <v>0.56999999999999995</v>
      </c>
      <c r="G7" s="50">
        <v>11.94</v>
      </c>
      <c r="H7" s="68">
        <v>0</v>
      </c>
      <c r="I7" s="78">
        <v>-0.54</v>
      </c>
      <c r="J7" s="79"/>
      <c r="K7" s="8">
        <v>4.28</v>
      </c>
      <c r="L7" s="9">
        <v>-0.08</v>
      </c>
      <c r="M7" s="9">
        <v>-4.3499999999999996</v>
      </c>
      <c r="N7" s="10">
        <v>9.34</v>
      </c>
      <c r="O7" s="14">
        <v>0.60069444444444442</v>
      </c>
      <c r="P7" s="18"/>
    </row>
    <row r="8" spans="1:16" ht="17" thickBot="1" x14ac:dyDescent="0.25">
      <c r="A8" s="35" t="s">
        <v>13</v>
      </c>
      <c r="B8" s="36">
        <v>1800</v>
      </c>
      <c r="C8" s="47">
        <v>-0.22</v>
      </c>
      <c r="D8" s="48">
        <v>0</v>
      </c>
      <c r="E8" s="49">
        <v>-0.22</v>
      </c>
      <c r="F8" s="53">
        <v>5.32</v>
      </c>
      <c r="G8" s="50">
        <v>49.29</v>
      </c>
      <c r="H8" s="68">
        <v>0</v>
      </c>
      <c r="I8" s="78">
        <v>-0.06</v>
      </c>
      <c r="J8" s="79"/>
      <c r="K8" s="8">
        <v>0.14000000000000001</v>
      </c>
      <c r="L8" s="10">
        <v>0.01</v>
      </c>
      <c r="M8" s="10">
        <v>0.56999999999999995</v>
      </c>
      <c r="N8" s="10">
        <v>11.94</v>
      </c>
      <c r="O8" s="14">
        <v>0.60069444444444442</v>
      </c>
      <c r="P8" s="18"/>
    </row>
    <row r="9" spans="1:16" ht="17" thickBot="1" x14ac:dyDescent="0.25">
      <c r="A9" s="35" t="s">
        <v>14</v>
      </c>
      <c r="B9" s="36">
        <v>1410</v>
      </c>
      <c r="C9" s="54">
        <v>0</v>
      </c>
      <c r="D9" s="48">
        <v>0</v>
      </c>
      <c r="E9" s="53">
        <v>0</v>
      </c>
      <c r="F9" s="53">
        <v>0</v>
      </c>
      <c r="G9" s="50">
        <v>18.149999999999999</v>
      </c>
      <c r="H9" s="68">
        <v>0</v>
      </c>
      <c r="I9" s="78">
        <v>-0.22</v>
      </c>
      <c r="J9" s="79"/>
      <c r="K9" s="8">
        <v>0</v>
      </c>
      <c r="L9" s="9">
        <v>-0.22</v>
      </c>
      <c r="M9" s="10">
        <v>5.32</v>
      </c>
      <c r="N9" s="10">
        <v>49.29</v>
      </c>
      <c r="O9" s="14">
        <v>0.60138888888888886</v>
      </c>
      <c r="P9" s="18"/>
    </row>
    <row r="10" spans="1:16" ht="17" thickBot="1" x14ac:dyDescent="0.25">
      <c r="A10" s="35" t="s">
        <v>15</v>
      </c>
      <c r="B10" s="36">
        <v>129.9</v>
      </c>
      <c r="C10" s="54">
        <v>0</v>
      </c>
      <c r="D10" s="48">
        <v>0</v>
      </c>
      <c r="E10" s="53">
        <v>0.7</v>
      </c>
      <c r="F10" s="49">
        <v>-1.22</v>
      </c>
      <c r="G10" s="50">
        <v>53.55</v>
      </c>
      <c r="H10" s="68">
        <v>0</v>
      </c>
      <c r="I10" s="69"/>
      <c r="J10" s="70"/>
      <c r="K10" s="8">
        <v>0</v>
      </c>
      <c r="L10" s="10">
        <v>0</v>
      </c>
      <c r="M10" s="10">
        <v>0</v>
      </c>
      <c r="N10" s="10">
        <v>18.149999999999999</v>
      </c>
      <c r="O10" s="14">
        <v>0.60138888888888886</v>
      </c>
      <c r="P10" s="18"/>
    </row>
    <row r="11" spans="1:16" ht="17" thickBot="1" x14ac:dyDescent="0.25">
      <c r="A11" s="35" t="s">
        <v>16</v>
      </c>
      <c r="B11" s="36">
        <v>1298</v>
      </c>
      <c r="C11" s="54">
        <v>0</v>
      </c>
      <c r="D11" s="48">
        <v>0</v>
      </c>
      <c r="E11" s="53">
        <v>0</v>
      </c>
      <c r="F11" s="53">
        <v>0</v>
      </c>
      <c r="G11" s="50">
        <v>31.76</v>
      </c>
      <c r="H11" s="68">
        <v>0</v>
      </c>
      <c r="I11" s="69"/>
      <c r="J11" s="70"/>
      <c r="K11" s="8">
        <v>0</v>
      </c>
      <c r="L11" s="10">
        <v>0.7</v>
      </c>
      <c r="M11" s="9">
        <v>-1.22</v>
      </c>
      <c r="N11" s="10">
        <v>53.55</v>
      </c>
      <c r="O11" s="14">
        <v>0.60069444444444442</v>
      </c>
      <c r="P11" s="18"/>
    </row>
    <row r="12" spans="1:16" ht="17" thickBot="1" x14ac:dyDescent="0.25">
      <c r="A12" s="35" t="s">
        <v>17</v>
      </c>
      <c r="B12" s="36">
        <v>14450</v>
      </c>
      <c r="C12" s="47">
        <v>-1.63</v>
      </c>
      <c r="D12" s="48">
        <v>0.02</v>
      </c>
      <c r="E12" s="49">
        <v>-1.5</v>
      </c>
      <c r="F12" s="49">
        <v>-1.5</v>
      </c>
      <c r="G12" s="50">
        <v>23.87</v>
      </c>
      <c r="H12" s="68">
        <v>0</v>
      </c>
      <c r="I12" s="69"/>
      <c r="J12" s="70"/>
      <c r="K12" s="8">
        <v>0</v>
      </c>
      <c r="L12" s="10">
        <v>0</v>
      </c>
      <c r="M12" s="10">
        <v>0</v>
      </c>
      <c r="N12" s="10">
        <v>31.76</v>
      </c>
      <c r="O12" s="14">
        <v>0.60069444444444442</v>
      </c>
      <c r="P12" s="18"/>
    </row>
    <row r="13" spans="1:16" ht="17" thickBot="1" x14ac:dyDescent="0.25">
      <c r="A13" s="35" t="s">
        <v>18</v>
      </c>
      <c r="B13" s="36">
        <v>115600</v>
      </c>
      <c r="C13" s="54">
        <v>0</v>
      </c>
      <c r="D13" s="48">
        <v>0</v>
      </c>
      <c r="E13" s="53">
        <v>2.76</v>
      </c>
      <c r="F13" s="53">
        <v>8.9499999999999993</v>
      </c>
      <c r="G13" s="50">
        <v>40.619999999999997</v>
      </c>
      <c r="H13" s="68">
        <v>0</v>
      </c>
      <c r="I13" s="78">
        <v>-1.63</v>
      </c>
      <c r="J13" s="79"/>
      <c r="K13" s="8">
        <v>0.02</v>
      </c>
      <c r="L13" s="9">
        <v>-1.5</v>
      </c>
      <c r="M13" s="9">
        <v>-1.5</v>
      </c>
      <c r="N13" s="10">
        <v>23.87</v>
      </c>
      <c r="O13" s="14">
        <v>0.60069444444444442</v>
      </c>
      <c r="P13" s="18"/>
    </row>
    <row r="14" spans="1:16" ht="17" thickBot="1" x14ac:dyDescent="0.25">
      <c r="A14" s="35" t="s">
        <v>19</v>
      </c>
      <c r="B14" s="36">
        <v>51350</v>
      </c>
      <c r="C14" s="54">
        <v>0.71</v>
      </c>
      <c r="D14" s="48">
        <v>0.06</v>
      </c>
      <c r="E14" s="49">
        <v>-0.35</v>
      </c>
      <c r="F14" s="53">
        <v>2.52</v>
      </c>
      <c r="G14" s="50">
        <v>25.42</v>
      </c>
      <c r="H14" s="68">
        <v>0</v>
      </c>
      <c r="I14" s="69"/>
      <c r="J14" s="70"/>
      <c r="K14" s="8">
        <v>0</v>
      </c>
      <c r="L14" s="10">
        <v>2.76</v>
      </c>
      <c r="M14" s="10">
        <v>8.9499999999999993</v>
      </c>
      <c r="N14" s="10">
        <v>40.619999999999997</v>
      </c>
      <c r="O14" s="14">
        <v>0.60069444444444442</v>
      </c>
      <c r="P14" s="18"/>
    </row>
    <row r="15" spans="1:16" ht="17" thickBot="1" x14ac:dyDescent="0.25">
      <c r="A15" s="35" t="s">
        <v>20</v>
      </c>
      <c r="B15" s="36">
        <v>34350</v>
      </c>
      <c r="C15" s="47">
        <v>-0.06</v>
      </c>
      <c r="D15" s="48">
        <v>0.06</v>
      </c>
      <c r="E15" s="53">
        <v>0.91</v>
      </c>
      <c r="F15" s="49">
        <v>-2.33</v>
      </c>
      <c r="G15" s="50">
        <v>88.22</v>
      </c>
      <c r="H15" s="68">
        <v>0</v>
      </c>
      <c r="I15" s="69">
        <v>0.71</v>
      </c>
      <c r="J15" s="70"/>
      <c r="K15" s="8">
        <v>0.06</v>
      </c>
      <c r="L15" s="9">
        <v>-0.35</v>
      </c>
      <c r="M15" s="10">
        <v>2.52</v>
      </c>
      <c r="N15" s="10">
        <v>25.42</v>
      </c>
      <c r="O15" s="14">
        <v>0.60138888888888886</v>
      </c>
      <c r="P15" s="18"/>
    </row>
    <row r="16" spans="1:16" ht="17" thickBot="1" x14ac:dyDescent="0.25">
      <c r="A16" s="35" t="s">
        <v>21</v>
      </c>
      <c r="B16" s="36">
        <v>14820</v>
      </c>
      <c r="C16" s="47">
        <v>-0.2</v>
      </c>
      <c r="D16" s="48">
        <v>0.19</v>
      </c>
      <c r="E16" s="53">
        <v>2.35</v>
      </c>
      <c r="F16" s="53">
        <v>2.56</v>
      </c>
      <c r="G16" s="50">
        <v>13</v>
      </c>
      <c r="H16" s="68">
        <v>0</v>
      </c>
      <c r="I16" s="78">
        <v>-0.06</v>
      </c>
      <c r="J16" s="79"/>
      <c r="K16" s="8">
        <v>0.06</v>
      </c>
      <c r="L16" s="10">
        <v>0.91</v>
      </c>
      <c r="M16" s="9">
        <v>-2.33</v>
      </c>
      <c r="N16" s="10">
        <v>88.22</v>
      </c>
      <c r="O16" s="14">
        <v>0.60138888888888886</v>
      </c>
      <c r="P16" s="18"/>
    </row>
    <row r="17" spans="1:16" ht="17" customHeight="1" thickBot="1" x14ac:dyDescent="0.25">
      <c r="A17" s="35" t="s">
        <v>22</v>
      </c>
      <c r="B17" s="36">
        <v>30830</v>
      </c>
      <c r="C17" s="47">
        <v>-0.61</v>
      </c>
      <c r="D17" s="48">
        <v>2.15</v>
      </c>
      <c r="E17" s="49">
        <v>-1.44</v>
      </c>
      <c r="F17" s="53">
        <v>3.01</v>
      </c>
      <c r="G17" s="50">
        <v>29.67</v>
      </c>
      <c r="H17" s="68">
        <v>0</v>
      </c>
      <c r="I17" s="78">
        <v>-0.2</v>
      </c>
      <c r="J17" s="79"/>
      <c r="K17" s="8">
        <v>0.19</v>
      </c>
      <c r="L17" s="10">
        <v>2.35</v>
      </c>
      <c r="M17" s="10">
        <v>2.56</v>
      </c>
      <c r="N17" s="10">
        <v>13</v>
      </c>
      <c r="O17" s="14">
        <v>0.60069444444444442</v>
      </c>
      <c r="P17" s="18"/>
    </row>
    <row r="18" spans="1:16" ht="17" thickBot="1" x14ac:dyDescent="0.25">
      <c r="A18" s="35" t="s">
        <v>23</v>
      </c>
      <c r="B18" s="36">
        <v>62.8</v>
      </c>
      <c r="C18" s="54">
        <v>1.29</v>
      </c>
      <c r="D18" s="48">
        <v>0.01</v>
      </c>
      <c r="E18" s="53">
        <v>5.55</v>
      </c>
      <c r="F18" s="49">
        <v>-6.13</v>
      </c>
      <c r="G18" s="50">
        <v>78.41</v>
      </c>
      <c r="H18" s="68">
        <v>0</v>
      </c>
      <c r="I18" s="78">
        <v>-0.61</v>
      </c>
      <c r="J18" s="79"/>
      <c r="K18" s="8">
        <v>2.15</v>
      </c>
      <c r="L18" s="9">
        <v>-1.44</v>
      </c>
      <c r="M18" s="10">
        <v>3.01</v>
      </c>
      <c r="N18" s="10">
        <v>29.67</v>
      </c>
      <c r="O18" s="14">
        <v>0.60069444444444442</v>
      </c>
      <c r="P18" s="18"/>
    </row>
    <row r="19" spans="1:16" ht="17" thickBot="1" x14ac:dyDescent="0.25">
      <c r="A19" s="35" t="s">
        <v>24</v>
      </c>
      <c r="B19" s="36">
        <v>7839</v>
      </c>
      <c r="C19" s="54">
        <v>0</v>
      </c>
      <c r="D19" s="48">
        <v>0</v>
      </c>
      <c r="E19" s="53">
        <v>0</v>
      </c>
      <c r="F19" s="49">
        <v>-2.0099999999999998</v>
      </c>
      <c r="G19" s="55">
        <v>-13.57</v>
      </c>
      <c r="H19" s="68">
        <v>0</v>
      </c>
      <c r="I19" s="69">
        <v>1.29</v>
      </c>
      <c r="J19" s="70"/>
      <c r="K19" s="8">
        <v>0.01</v>
      </c>
      <c r="L19" s="10">
        <v>5.55</v>
      </c>
      <c r="M19" s="9">
        <v>-6.13</v>
      </c>
      <c r="N19" s="10">
        <v>78.41</v>
      </c>
      <c r="O19" s="14">
        <v>0.60138888888888886</v>
      </c>
      <c r="P19" s="18"/>
    </row>
    <row r="20" spans="1:16" ht="17" thickBot="1" x14ac:dyDescent="0.25">
      <c r="A20" s="35" t="s">
        <v>25</v>
      </c>
      <c r="B20" s="36">
        <v>3545</v>
      </c>
      <c r="C20" s="54">
        <v>0</v>
      </c>
      <c r="D20" s="48">
        <v>0</v>
      </c>
      <c r="E20" s="53">
        <v>0</v>
      </c>
      <c r="F20" s="53">
        <v>1.4</v>
      </c>
      <c r="G20" s="50">
        <v>44.46</v>
      </c>
      <c r="H20" s="68">
        <v>0</v>
      </c>
      <c r="I20" s="69"/>
      <c r="J20" s="70"/>
      <c r="K20" s="8">
        <v>0</v>
      </c>
      <c r="L20" s="10">
        <v>0</v>
      </c>
      <c r="M20" s="9">
        <v>-2.0099999999999998</v>
      </c>
      <c r="N20" s="9">
        <v>-13.57</v>
      </c>
      <c r="O20" s="14">
        <v>0.60138888888888886</v>
      </c>
      <c r="P20" s="18"/>
    </row>
    <row r="21" spans="1:16" ht="17" customHeight="1" thickBot="1" x14ac:dyDescent="0.25">
      <c r="A21" s="35" t="s">
        <v>26</v>
      </c>
      <c r="B21" s="36">
        <v>2352</v>
      </c>
      <c r="C21" s="54">
        <v>0</v>
      </c>
      <c r="D21" s="48">
        <v>0</v>
      </c>
      <c r="E21" s="49">
        <v>-1.84</v>
      </c>
      <c r="F21" s="49">
        <v>-1.84</v>
      </c>
      <c r="G21" s="50">
        <v>5.14</v>
      </c>
      <c r="H21" s="68">
        <v>0</v>
      </c>
      <c r="I21" s="69"/>
      <c r="J21" s="70"/>
      <c r="K21" s="8">
        <v>0</v>
      </c>
      <c r="L21" s="10">
        <v>0</v>
      </c>
      <c r="M21" s="10">
        <v>1.4</v>
      </c>
      <c r="N21" s="10">
        <v>44.46</v>
      </c>
      <c r="O21" s="14">
        <v>0.60069444444444442</v>
      </c>
      <c r="P21" s="18"/>
    </row>
    <row r="22" spans="1:16" ht="17" thickBot="1" x14ac:dyDescent="0.25">
      <c r="A22" s="35" t="s">
        <v>27</v>
      </c>
      <c r="B22" s="36">
        <v>871.3</v>
      </c>
      <c r="C22" s="54">
        <v>0.43</v>
      </c>
      <c r="D22" s="48">
        <v>2.5299999999999998</v>
      </c>
      <c r="E22" s="53">
        <v>3.11</v>
      </c>
      <c r="F22" s="53">
        <v>1.1100000000000001</v>
      </c>
      <c r="G22" s="50">
        <v>51.53</v>
      </c>
      <c r="H22" s="68">
        <v>0</v>
      </c>
      <c r="I22" s="69"/>
      <c r="J22" s="70"/>
      <c r="K22" s="8">
        <v>0</v>
      </c>
      <c r="L22" s="9">
        <v>-1.84</v>
      </c>
      <c r="M22" s="9">
        <v>-1.84</v>
      </c>
      <c r="N22" s="10">
        <v>5.14</v>
      </c>
      <c r="O22" s="14">
        <v>0.60069444444444442</v>
      </c>
      <c r="P22" s="18"/>
    </row>
    <row r="23" spans="1:16" ht="17" customHeight="1" thickBot="1" x14ac:dyDescent="0.25">
      <c r="A23" s="35" t="s">
        <v>28</v>
      </c>
      <c r="B23" s="36">
        <v>226</v>
      </c>
      <c r="C23" s="54">
        <v>1.76</v>
      </c>
      <c r="D23" s="48">
        <v>0.26</v>
      </c>
      <c r="E23" s="49">
        <v>-3.42</v>
      </c>
      <c r="F23" s="53">
        <v>4.97</v>
      </c>
      <c r="G23" s="50">
        <v>11</v>
      </c>
      <c r="H23" s="68">
        <v>0</v>
      </c>
      <c r="I23" s="69">
        <v>0.43</v>
      </c>
      <c r="J23" s="70"/>
      <c r="K23" s="8">
        <v>2.5299999999999998</v>
      </c>
      <c r="L23" s="10">
        <v>3.11</v>
      </c>
      <c r="M23" s="10">
        <v>1.1100000000000001</v>
      </c>
      <c r="N23" s="10">
        <v>51.53</v>
      </c>
      <c r="O23" s="14">
        <v>0.60138888888888886</v>
      </c>
      <c r="P23" s="18"/>
    </row>
    <row r="24" spans="1:16" ht="17" thickBot="1" x14ac:dyDescent="0.25">
      <c r="A24" s="35" t="s">
        <v>29</v>
      </c>
      <c r="B24" s="36">
        <v>26.7</v>
      </c>
      <c r="C24" s="54">
        <v>0</v>
      </c>
      <c r="D24" s="48">
        <v>0</v>
      </c>
      <c r="E24" s="49">
        <v>-1.1100000000000001</v>
      </c>
      <c r="F24" s="53">
        <v>3.49</v>
      </c>
      <c r="G24" s="50">
        <v>73.38</v>
      </c>
      <c r="H24" s="68">
        <v>0</v>
      </c>
      <c r="I24" s="69">
        <v>1.76</v>
      </c>
      <c r="J24" s="70"/>
      <c r="K24" s="8">
        <v>0.26</v>
      </c>
      <c r="L24" s="9">
        <v>-3.42</v>
      </c>
      <c r="M24" s="10">
        <v>4.97</v>
      </c>
      <c r="N24" s="10">
        <v>11</v>
      </c>
      <c r="O24" s="14">
        <v>0.60069444444444442</v>
      </c>
      <c r="P24" s="18"/>
    </row>
    <row r="25" spans="1:16" ht="17" thickBot="1" x14ac:dyDescent="0.25">
      <c r="A25" s="35" t="s">
        <v>30</v>
      </c>
      <c r="B25" s="36">
        <v>2426</v>
      </c>
      <c r="C25" s="54">
        <v>0.37</v>
      </c>
      <c r="D25" s="48">
        <v>0.33</v>
      </c>
      <c r="E25" s="53">
        <v>0.57999999999999996</v>
      </c>
      <c r="F25" s="53">
        <v>0.92</v>
      </c>
      <c r="G25" s="50">
        <v>32.880000000000003</v>
      </c>
      <c r="H25" s="68">
        <v>0</v>
      </c>
      <c r="I25" s="69"/>
      <c r="J25" s="70"/>
      <c r="K25" s="8">
        <v>0</v>
      </c>
      <c r="L25" s="9">
        <v>-1.1100000000000001</v>
      </c>
      <c r="M25" s="10">
        <v>3.49</v>
      </c>
      <c r="N25" s="10">
        <v>73.38</v>
      </c>
      <c r="O25" s="14">
        <v>0.60138888888888886</v>
      </c>
      <c r="P25" s="18"/>
    </row>
    <row r="26" spans="1:16" ht="17" thickBot="1" x14ac:dyDescent="0.25">
      <c r="A26" s="35" t="s">
        <v>31</v>
      </c>
      <c r="B26" s="36">
        <v>96.2</v>
      </c>
      <c r="C26" s="47">
        <v>-5.22</v>
      </c>
      <c r="D26" s="48">
        <v>0.04</v>
      </c>
      <c r="E26" s="49">
        <v>-3.8</v>
      </c>
      <c r="F26" s="49">
        <v>-12.47</v>
      </c>
      <c r="G26" s="55">
        <v>-42.53</v>
      </c>
      <c r="H26" s="68">
        <v>0</v>
      </c>
      <c r="I26" s="69">
        <v>0.37</v>
      </c>
      <c r="J26" s="70"/>
      <c r="K26" s="8">
        <v>0.33</v>
      </c>
      <c r="L26" s="10">
        <v>0.57999999999999996</v>
      </c>
      <c r="M26" s="10">
        <v>0.92</v>
      </c>
      <c r="N26" s="10">
        <v>32.880000000000003</v>
      </c>
      <c r="O26" s="14">
        <v>0.60138888888888886</v>
      </c>
      <c r="P26" s="18"/>
    </row>
    <row r="27" spans="1:16" ht="17" thickBot="1" x14ac:dyDescent="0.25">
      <c r="A27" s="35" t="s">
        <v>32</v>
      </c>
      <c r="B27" s="36">
        <v>172.4</v>
      </c>
      <c r="C27" s="54">
        <v>2.99</v>
      </c>
      <c r="D27" s="48">
        <v>0</v>
      </c>
      <c r="E27" s="49">
        <v>-6.51</v>
      </c>
      <c r="F27" s="49">
        <v>-6.05</v>
      </c>
      <c r="G27" s="50">
        <v>4.1100000000000003</v>
      </c>
      <c r="H27" s="68">
        <v>0</v>
      </c>
      <c r="I27" s="78">
        <v>-5.22</v>
      </c>
      <c r="J27" s="79"/>
      <c r="K27" s="8">
        <v>0.04</v>
      </c>
      <c r="L27" s="9">
        <v>-3.8</v>
      </c>
      <c r="M27" s="9">
        <v>-12.47</v>
      </c>
      <c r="N27" s="9">
        <v>-42.53</v>
      </c>
      <c r="O27" s="14">
        <v>0.60486111111111118</v>
      </c>
      <c r="P27" s="18"/>
    </row>
    <row r="28" spans="1:16" ht="17" thickBot="1" x14ac:dyDescent="0.25">
      <c r="A28" s="35" t="s">
        <v>33</v>
      </c>
      <c r="B28" s="36">
        <v>4397</v>
      </c>
      <c r="C28" s="54">
        <v>0.92</v>
      </c>
      <c r="D28" s="48">
        <v>0.95</v>
      </c>
      <c r="E28" s="53">
        <v>1.27</v>
      </c>
      <c r="F28" s="53">
        <v>8.94</v>
      </c>
      <c r="G28" s="55">
        <v>-7.43</v>
      </c>
      <c r="H28" s="68">
        <v>0</v>
      </c>
      <c r="I28" s="69">
        <v>2.99</v>
      </c>
      <c r="J28" s="70"/>
      <c r="K28" s="8">
        <v>0</v>
      </c>
      <c r="L28" s="9">
        <v>-6.51</v>
      </c>
      <c r="M28" s="9">
        <v>-6.05</v>
      </c>
      <c r="N28" s="10">
        <v>4.1100000000000003</v>
      </c>
      <c r="O28" s="14">
        <v>0.60069444444444442</v>
      </c>
      <c r="P28" s="18"/>
    </row>
    <row r="29" spans="1:16" ht="17" customHeight="1" thickBot="1" x14ac:dyDescent="0.25">
      <c r="A29" s="35" t="s">
        <v>34</v>
      </c>
      <c r="B29" s="36">
        <v>463.1</v>
      </c>
      <c r="C29" s="54">
        <v>0.11</v>
      </c>
      <c r="D29" s="48">
        <v>0.03</v>
      </c>
      <c r="E29" s="53">
        <v>0.02</v>
      </c>
      <c r="F29" s="53">
        <v>2.87</v>
      </c>
      <c r="G29" s="50">
        <v>80.67</v>
      </c>
      <c r="H29" s="68">
        <v>0</v>
      </c>
      <c r="I29" s="69">
        <v>0.92</v>
      </c>
      <c r="J29" s="70"/>
      <c r="K29" s="8">
        <v>0.95</v>
      </c>
      <c r="L29" s="10">
        <v>1.27</v>
      </c>
      <c r="M29" s="10">
        <v>8.94</v>
      </c>
      <c r="N29" s="9">
        <v>-7.43</v>
      </c>
      <c r="O29" s="14">
        <v>0.60138888888888886</v>
      </c>
      <c r="P29" s="18"/>
    </row>
    <row r="30" spans="1:16" ht="17" thickBot="1" x14ac:dyDescent="0.25">
      <c r="A30" s="35" t="s">
        <v>35</v>
      </c>
      <c r="B30" s="36">
        <v>708</v>
      </c>
      <c r="C30" s="47">
        <v>-0.28000000000000003</v>
      </c>
      <c r="D30" s="48">
        <v>32.04</v>
      </c>
      <c r="E30" s="53">
        <v>1.1399999999999999</v>
      </c>
      <c r="F30" s="53">
        <v>0.16</v>
      </c>
      <c r="G30" s="55">
        <v>-11.56</v>
      </c>
      <c r="H30" s="51">
        <v>230011</v>
      </c>
      <c r="I30" s="69">
        <v>0.11</v>
      </c>
      <c r="J30" s="70"/>
      <c r="K30" s="8">
        <v>0.03</v>
      </c>
      <c r="L30" s="10">
        <v>0.02</v>
      </c>
      <c r="M30" s="10">
        <v>2.87</v>
      </c>
      <c r="N30" s="10">
        <v>80.67</v>
      </c>
      <c r="O30" s="14">
        <v>0.60138888888888886</v>
      </c>
      <c r="P30" s="18"/>
    </row>
    <row r="31" spans="1:16" ht="17" thickBot="1" x14ac:dyDescent="0.25">
      <c r="A31" s="35" t="s">
        <v>36</v>
      </c>
      <c r="B31" s="36">
        <v>68</v>
      </c>
      <c r="C31" s="47">
        <v>-0.57999999999999996</v>
      </c>
      <c r="D31" s="48">
        <v>6.44</v>
      </c>
      <c r="E31" s="49">
        <v>-0.28999999999999998</v>
      </c>
      <c r="F31" s="49">
        <v>-0.73</v>
      </c>
      <c r="G31" s="50">
        <v>3.98</v>
      </c>
      <c r="H31" s="68">
        <v>0</v>
      </c>
      <c r="I31" s="78">
        <v>-0.28000000000000003</v>
      </c>
      <c r="J31" s="79"/>
      <c r="K31" s="8">
        <v>32.04</v>
      </c>
      <c r="L31" s="10">
        <v>1.1399999999999999</v>
      </c>
      <c r="M31" s="10">
        <v>0.16</v>
      </c>
      <c r="N31" s="9">
        <v>-11.56</v>
      </c>
      <c r="O31" s="14">
        <v>0.60069444444444442</v>
      </c>
      <c r="P31" s="18"/>
    </row>
    <row r="32" spans="1:16" ht="17" customHeight="1" thickBot="1" x14ac:dyDescent="0.25">
      <c r="A32" s="35" t="s">
        <v>37</v>
      </c>
      <c r="B32" s="36">
        <v>1300</v>
      </c>
      <c r="C32" s="54">
        <v>1.64</v>
      </c>
      <c r="D32" s="48">
        <v>0.04</v>
      </c>
      <c r="E32" s="53">
        <v>1.4</v>
      </c>
      <c r="F32" s="49">
        <v>-6.54</v>
      </c>
      <c r="G32" s="55">
        <v>-8.41</v>
      </c>
      <c r="H32" s="68">
        <v>0</v>
      </c>
      <c r="I32" s="78">
        <v>-0.57999999999999996</v>
      </c>
      <c r="J32" s="79"/>
      <c r="K32" s="8">
        <v>6.44</v>
      </c>
      <c r="L32" s="9">
        <v>-0.28999999999999998</v>
      </c>
      <c r="M32" s="9">
        <v>-0.73</v>
      </c>
      <c r="N32" s="10">
        <v>3.98</v>
      </c>
      <c r="O32" s="14">
        <v>0.60069444444444442</v>
      </c>
      <c r="P32" s="18"/>
    </row>
    <row r="33" spans="1:16" ht="17" thickBot="1" x14ac:dyDescent="0.25">
      <c r="A33" s="35" t="s">
        <v>38</v>
      </c>
      <c r="B33" s="36">
        <v>925.2</v>
      </c>
      <c r="C33" s="54">
        <v>0.02</v>
      </c>
      <c r="D33" s="48">
        <v>0.04</v>
      </c>
      <c r="E33" s="49">
        <v>-1.4</v>
      </c>
      <c r="F33" s="49">
        <v>-1.26</v>
      </c>
      <c r="G33" s="50">
        <v>45.9</v>
      </c>
      <c r="H33" s="68">
        <v>0</v>
      </c>
      <c r="I33" s="69">
        <v>1.64</v>
      </c>
      <c r="J33" s="70"/>
      <c r="K33" s="8">
        <v>0.04</v>
      </c>
      <c r="L33" s="10">
        <v>1.4</v>
      </c>
      <c r="M33" s="9">
        <v>-6.54</v>
      </c>
      <c r="N33" s="9">
        <v>-8.41</v>
      </c>
      <c r="O33" s="14">
        <v>0.60138888888888886</v>
      </c>
      <c r="P33" s="18"/>
    </row>
    <row r="34" spans="1:16" ht="17" thickBot="1" x14ac:dyDescent="0.25">
      <c r="A34" s="35" t="s">
        <v>39</v>
      </c>
      <c r="B34" s="36">
        <v>79.3</v>
      </c>
      <c r="C34" s="47">
        <v>-1.98</v>
      </c>
      <c r="D34" s="48">
        <v>0</v>
      </c>
      <c r="E34" s="49">
        <v>-1.73</v>
      </c>
      <c r="F34" s="49">
        <v>-5.93</v>
      </c>
      <c r="G34" s="55">
        <v>-40.42</v>
      </c>
      <c r="H34" s="68">
        <v>0</v>
      </c>
      <c r="I34" s="69">
        <v>0.02</v>
      </c>
      <c r="J34" s="70"/>
      <c r="K34" s="8">
        <v>0.04</v>
      </c>
      <c r="L34" s="9">
        <v>-1.4</v>
      </c>
      <c r="M34" s="9">
        <v>-1.26</v>
      </c>
      <c r="N34" s="10">
        <v>45.9</v>
      </c>
      <c r="O34" s="14">
        <v>0.60138888888888886</v>
      </c>
      <c r="P34" s="18"/>
    </row>
    <row r="35" spans="1:16" ht="17" thickBot="1" x14ac:dyDescent="0.25">
      <c r="A35" s="35" t="s">
        <v>40</v>
      </c>
      <c r="B35" s="36">
        <v>3054</v>
      </c>
      <c r="C35" s="47">
        <v>-0.52</v>
      </c>
      <c r="D35" s="48">
        <v>0.73</v>
      </c>
      <c r="E35" s="53">
        <v>1.06</v>
      </c>
      <c r="F35" s="49">
        <v>-0.65</v>
      </c>
      <c r="G35" s="50">
        <v>27.52</v>
      </c>
      <c r="H35" s="68">
        <v>0</v>
      </c>
      <c r="I35" s="78">
        <v>-1.98</v>
      </c>
      <c r="J35" s="79"/>
      <c r="K35" s="8">
        <v>0</v>
      </c>
      <c r="L35" s="9">
        <v>-1.73</v>
      </c>
      <c r="M35" s="9">
        <v>-5.93</v>
      </c>
      <c r="N35" s="9">
        <v>-40.42</v>
      </c>
      <c r="O35" s="14">
        <v>0.60138888888888886</v>
      </c>
      <c r="P35" s="18"/>
    </row>
    <row r="36" spans="1:16" ht="17" thickBot="1" x14ac:dyDescent="0.25">
      <c r="A36" s="35" t="s">
        <v>41</v>
      </c>
      <c r="B36" s="36">
        <v>1466</v>
      </c>
      <c r="C36" s="54">
        <v>0.34</v>
      </c>
      <c r="D36" s="48">
        <v>0.13</v>
      </c>
      <c r="E36" s="53">
        <v>1.03</v>
      </c>
      <c r="F36" s="53">
        <v>1.45</v>
      </c>
      <c r="G36" s="50">
        <v>52.26</v>
      </c>
      <c r="H36" s="68">
        <v>0</v>
      </c>
      <c r="I36" s="78">
        <v>-0.52</v>
      </c>
      <c r="J36" s="79"/>
      <c r="K36" s="8">
        <v>0.73</v>
      </c>
      <c r="L36" s="10">
        <v>1.06</v>
      </c>
      <c r="M36" s="9">
        <v>-0.65</v>
      </c>
      <c r="N36" s="10">
        <v>27.52</v>
      </c>
      <c r="O36" s="14">
        <v>0.60138888888888886</v>
      </c>
      <c r="P36" s="18"/>
    </row>
    <row r="37" spans="1:16" ht="17" customHeight="1" thickBot="1" x14ac:dyDescent="0.25">
      <c r="A37" s="35" t="s">
        <v>42</v>
      </c>
      <c r="B37" s="36">
        <v>1198</v>
      </c>
      <c r="C37" s="54">
        <v>0</v>
      </c>
      <c r="D37" s="48">
        <v>0</v>
      </c>
      <c r="E37" s="53">
        <v>2.31</v>
      </c>
      <c r="F37" s="49">
        <v>-0.66</v>
      </c>
      <c r="G37" s="50">
        <v>3.92</v>
      </c>
      <c r="H37" s="68">
        <v>0</v>
      </c>
      <c r="I37" s="69">
        <v>0.34</v>
      </c>
      <c r="J37" s="70"/>
      <c r="K37" s="8">
        <v>0.13</v>
      </c>
      <c r="L37" s="10">
        <v>1.03</v>
      </c>
      <c r="M37" s="10">
        <v>1.45</v>
      </c>
      <c r="N37" s="10">
        <v>52.26</v>
      </c>
      <c r="O37" s="14">
        <v>0.60138888888888886</v>
      </c>
      <c r="P37" s="18"/>
    </row>
    <row r="38" spans="1:16" ht="17" thickBot="1" x14ac:dyDescent="0.25">
      <c r="A38" s="35" t="s">
        <v>43</v>
      </c>
      <c r="B38" s="36">
        <v>14870</v>
      </c>
      <c r="C38" s="54">
        <v>0.41</v>
      </c>
      <c r="D38" s="48">
        <v>0.22</v>
      </c>
      <c r="E38" s="53">
        <v>1.71</v>
      </c>
      <c r="F38" s="53">
        <v>1.85</v>
      </c>
      <c r="G38" s="50">
        <v>44.22</v>
      </c>
      <c r="H38" s="68">
        <v>0</v>
      </c>
      <c r="I38" s="69"/>
      <c r="J38" s="70"/>
      <c r="K38" s="8">
        <v>0</v>
      </c>
      <c r="L38" s="10">
        <v>2.31</v>
      </c>
      <c r="M38" s="9">
        <v>-0.66</v>
      </c>
      <c r="N38" s="10">
        <v>3.92</v>
      </c>
      <c r="O38" s="14">
        <v>0.60069444444444442</v>
      </c>
      <c r="P38" s="18"/>
    </row>
    <row r="39" spans="1:16" ht="17" customHeight="1" thickBot="1" x14ac:dyDescent="0.25">
      <c r="A39" s="35" t="s">
        <v>44</v>
      </c>
      <c r="B39" s="36">
        <v>162.1</v>
      </c>
      <c r="C39" s="54">
        <v>0</v>
      </c>
      <c r="D39" s="48">
        <v>0</v>
      </c>
      <c r="E39" s="49">
        <v>-3.17</v>
      </c>
      <c r="F39" s="53">
        <v>2.72</v>
      </c>
      <c r="G39" s="50">
        <v>105.19</v>
      </c>
      <c r="H39" s="68">
        <v>0</v>
      </c>
      <c r="I39" s="69">
        <v>0.41</v>
      </c>
      <c r="J39" s="70"/>
      <c r="K39" s="8">
        <v>0.22</v>
      </c>
      <c r="L39" s="10">
        <v>1.71</v>
      </c>
      <c r="M39" s="10">
        <v>1.85</v>
      </c>
      <c r="N39" s="10">
        <v>44.22</v>
      </c>
      <c r="O39" s="14">
        <v>0.60069444444444442</v>
      </c>
      <c r="P39" s="18"/>
    </row>
    <row r="40" spans="1:16" ht="17" customHeight="1" thickBot="1" x14ac:dyDescent="0.25">
      <c r="A40" s="35" t="s">
        <v>45</v>
      </c>
      <c r="B40" s="36">
        <v>9647</v>
      </c>
      <c r="C40" s="54">
        <v>0.09</v>
      </c>
      <c r="D40" s="48">
        <v>0.27</v>
      </c>
      <c r="E40" s="53">
        <v>0.64</v>
      </c>
      <c r="F40" s="49">
        <v>-0.98</v>
      </c>
      <c r="G40" s="50">
        <v>91.5</v>
      </c>
      <c r="H40" s="68">
        <v>0</v>
      </c>
      <c r="I40" s="69"/>
      <c r="J40" s="70"/>
      <c r="K40" s="8">
        <v>0</v>
      </c>
      <c r="L40" s="9">
        <v>-3.17</v>
      </c>
      <c r="M40" s="10">
        <v>2.72</v>
      </c>
      <c r="N40" s="10">
        <v>105.19</v>
      </c>
      <c r="O40" s="14">
        <v>0.60138888888888886</v>
      </c>
      <c r="P40" s="18"/>
    </row>
    <row r="41" spans="1:16" ht="17" customHeight="1" thickBot="1" x14ac:dyDescent="0.25">
      <c r="A41" s="35" t="s">
        <v>46</v>
      </c>
      <c r="B41" s="36">
        <v>1001</v>
      </c>
      <c r="C41" s="47">
        <v>-0.4</v>
      </c>
      <c r="D41" s="48">
        <v>0.03</v>
      </c>
      <c r="E41" s="53">
        <v>4.22</v>
      </c>
      <c r="F41" s="53">
        <v>2.99</v>
      </c>
      <c r="G41" s="55">
        <v>-6.01</v>
      </c>
      <c r="H41" s="68">
        <v>0</v>
      </c>
      <c r="I41" s="69">
        <v>0.09</v>
      </c>
      <c r="J41" s="70"/>
      <c r="K41" s="8">
        <v>0.27</v>
      </c>
      <c r="L41" s="10">
        <v>0.64</v>
      </c>
      <c r="M41" s="9">
        <v>-0.98</v>
      </c>
      <c r="N41" s="10">
        <v>91.5</v>
      </c>
      <c r="O41" s="14">
        <v>0.60069444444444442</v>
      </c>
      <c r="P41" s="18"/>
    </row>
    <row r="42" spans="1:16" ht="17" thickBot="1" x14ac:dyDescent="0.25">
      <c r="A42" s="35" t="s">
        <v>47</v>
      </c>
      <c r="B42" s="36">
        <v>112.9</v>
      </c>
      <c r="C42" s="54">
        <v>0</v>
      </c>
      <c r="D42" s="48">
        <v>0</v>
      </c>
      <c r="E42" s="53">
        <v>0</v>
      </c>
      <c r="F42" s="53">
        <v>0</v>
      </c>
      <c r="G42" s="55">
        <v>-21.84</v>
      </c>
      <c r="H42" s="68">
        <v>0</v>
      </c>
      <c r="I42" s="78">
        <v>-0.4</v>
      </c>
      <c r="J42" s="79"/>
      <c r="K42" s="8">
        <v>0.03</v>
      </c>
      <c r="L42" s="10">
        <v>4.22</v>
      </c>
      <c r="M42" s="10">
        <v>2.99</v>
      </c>
      <c r="N42" s="9">
        <v>-6.01</v>
      </c>
      <c r="O42" s="14">
        <v>0.60069444444444442</v>
      </c>
      <c r="P42" s="18"/>
    </row>
    <row r="43" spans="1:16" ht="17" thickBot="1" x14ac:dyDescent="0.25">
      <c r="A43" s="35" t="s">
        <v>48</v>
      </c>
      <c r="B43" s="36">
        <v>263</v>
      </c>
      <c r="C43" s="47">
        <v>-1.46</v>
      </c>
      <c r="D43" s="48">
        <v>4.49</v>
      </c>
      <c r="E43" s="53">
        <v>0</v>
      </c>
      <c r="F43" s="53">
        <v>0.96</v>
      </c>
      <c r="G43" s="50">
        <v>10.94</v>
      </c>
      <c r="H43" s="68">
        <v>0</v>
      </c>
      <c r="I43" s="69"/>
      <c r="J43" s="70"/>
      <c r="K43" s="8">
        <v>0</v>
      </c>
      <c r="L43" s="10">
        <v>0</v>
      </c>
      <c r="M43" s="10">
        <v>0</v>
      </c>
      <c r="N43" s="9">
        <v>-21.84</v>
      </c>
      <c r="O43" s="14">
        <v>0.60138888888888886</v>
      </c>
      <c r="P43" s="18"/>
    </row>
    <row r="44" spans="1:16" ht="17" thickBot="1" x14ac:dyDescent="0.25">
      <c r="A44" s="35" t="s">
        <v>49</v>
      </c>
      <c r="B44" s="36">
        <v>1201</v>
      </c>
      <c r="C44" s="47">
        <v>-1.56</v>
      </c>
      <c r="D44" s="48">
        <v>0.02</v>
      </c>
      <c r="E44" s="49">
        <v>-0.33</v>
      </c>
      <c r="F44" s="53">
        <v>0.08</v>
      </c>
      <c r="G44" s="50">
        <v>28.07</v>
      </c>
      <c r="H44" s="68">
        <v>0</v>
      </c>
      <c r="I44" s="78">
        <v>-1.46</v>
      </c>
      <c r="J44" s="79"/>
      <c r="K44" s="8">
        <v>4.49</v>
      </c>
      <c r="L44" s="10">
        <v>0</v>
      </c>
      <c r="M44" s="10">
        <v>0.96</v>
      </c>
      <c r="N44" s="10">
        <v>10.94</v>
      </c>
      <c r="O44" s="14">
        <v>0.60069444444444442</v>
      </c>
      <c r="P44" s="18"/>
    </row>
    <row r="45" spans="1:16" ht="17" thickBot="1" x14ac:dyDescent="0.25">
      <c r="A45" s="35" t="s">
        <v>50</v>
      </c>
      <c r="B45" s="36">
        <v>25550</v>
      </c>
      <c r="C45" s="47">
        <v>-0.51</v>
      </c>
      <c r="D45" s="48">
        <v>10.48</v>
      </c>
      <c r="E45" s="53">
        <v>1.51</v>
      </c>
      <c r="F45" s="53">
        <v>1.83</v>
      </c>
      <c r="G45" s="50">
        <v>14.64</v>
      </c>
      <c r="H45" s="68">
        <v>0</v>
      </c>
      <c r="I45" s="78">
        <v>-1.56</v>
      </c>
      <c r="J45" s="79"/>
      <c r="K45" s="8">
        <v>0.02</v>
      </c>
      <c r="L45" s="9">
        <v>-0.33</v>
      </c>
      <c r="M45" s="10">
        <v>0.08</v>
      </c>
      <c r="N45" s="10">
        <v>28.07</v>
      </c>
      <c r="O45" s="14">
        <v>0.60069444444444442</v>
      </c>
      <c r="P45" s="18"/>
    </row>
    <row r="46" spans="1:16" ht="17" thickBot="1" x14ac:dyDescent="0.25">
      <c r="A46" s="35" t="s">
        <v>51</v>
      </c>
      <c r="B46" s="36">
        <v>1461</v>
      </c>
      <c r="C46" s="47">
        <v>-3.44</v>
      </c>
      <c r="D46" s="48">
        <v>0.43</v>
      </c>
      <c r="E46" s="49">
        <v>-1.35</v>
      </c>
      <c r="F46" s="49">
        <v>-1.02</v>
      </c>
      <c r="G46" s="50">
        <v>26.6</v>
      </c>
      <c r="H46" s="68">
        <v>0</v>
      </c>
      <c r="I46" s="78">
        <v>-0.51</v>
      </c>
      <c r="J46" s="79"/>
      <c r="K46" s="8">
        <v>10.48</v>
      </c>
      <c r="L46" s="10">
        <v>1.51</v>
      </c>
      <c r="M46" s="10">
        <v>1.83</v>
      </c>
      <c r="N46" s="10">
        <v>14.64</v>
      </c>
      <c r="O46" s="14">
        <v>0.60069444444444442</v>
      </c>
      <c r="P46" s="18"/>
    </row>
    <row r="47" spans="1:16" ht="17" customHeight="1" thickBot="1" x14ac:dyDescent="0.25">
      <c r="A47" s="35" t="s">
        <v>52</v>
      </c>
      <c r="B47" s="36">
        <v>53</v>
      </c>
      <c r="C47" s="54">
        <v>0</v>
      </c>
      <c r="D47" s="48">
        <v>0</v>
      </c>
      <c r="E47" s="49">
        <v>-0.19</v>
      </c>
      <c r="F47" s="53">
        <v>3.72</v>
      </c>
      <c r="G47" s="55">
        <v>-31.61</v>
      </c>
      <c r="H47" s="68">
        <v>0</v>
      </c>
      <c r="I47" s="78">
        <v>-3.44</v>
      </c>
      <c r="J47" s="79"/>
      <c r="K47" s="8">
        <v>0.43</v>
      </c>
      <c r="L47" s="9">
        <v>-1.35</v>
      </c>
      <c r="M47" s="9">
        <v>-1.02</v>
      </c>
      <c r="N47" s="10">
        <v>26.6</v>
      </c>
      <c r="O47" s="14">
        <v>0.60138888888888886</v>
      </c>
      <c r="P47" s="18"/>
    </row>
    <row r="48" spans="1:16" ht="17" thickBot="1" x14ac:dyDescent="0.25">
      <c r="A48" s="35" t="s">
        <v>53</v>
      </c>
      <c r="B48" s="36">
        <v>11620</v>
      </c>
      <c r="C48" s="47">
        <v>-0.6</v>
      </c>
      <c r="D48" s="48">
        <v>0.05</v>
      </c>
      <c r="E48" s="49">
        <v>-1.27</v>
      </c>
      <c r="F48" s="53">
        <v>2.2000000000000002</v>
      </c>
      <c r="G48" s="50">
        <v>24.64</v>
      </c>
      <c r="H48" s="68">
        <v>0</v>
      </c>
      <c r="I48" s="69"/>
      <c r="J48" s="70"/>
      <c r="K48" s="8">
        <v>0</v>
      </c>
      <c r="L48" s="9">
        <v>-0.19</v>
      </c>
      <c r="M48" s="10">
        <v>3.72</v>
      </c>
      <c r="N48" s="9">
        <v>-31.61</v>
      </c>
      <c r="O48" s="14">
        <v>0.60069444444444442</v>
      </c>
      <c r="P48" s="18"/>
    </row>
    <row r="49" spans="1:16" ht="17" thickBot="1" x14ac:dyDescent="0.25">
      <c r="A49" s="35" t="s">
        <v>54</v>
      </c>
      <c r="B49" s="36">
        <v>1421</v>
      </c>
      <c r="C49" s="47">
        <v>-0.7</v>
      </c>
      <c r="D49" s="48">
        <v>20.81</v>
      </c>
      <c r="E49" s="49">
        <v>-0.42</v>
      </c>
      <c r="F49" s="49">
        <v>-2.67</v>
      </c>
      <c r="G49" s="55">
        <v>-7.33</v>
      </c>
      <c r="H49" s="51">
        <v>281014</v>
      </c>
      <c r="I49" s="78">
        <v>-0.6</v>
      </c>
      <c r="J49" s="79"/>
      <c r="K49" s="8">
        <v>0.05</v>
      </c>
      <c r="L49" s="9">
        <v>-1.27</v>
      </c>
      <c r="M49" s="10">
        <v>2.2000000000000002</v>
      </c>
      <c r="N49" s="10">
        <v>24.64</v>
      </c>
      <c r="O49" s="14">
        <v>0.60138888888888886</v>
      </c>
      <c r="P49" s="18"/>
    </row>
    <row r="50" spans="1:16" ht="17" thickBot="1" x14ac:dyDescent="0.25">
      <c r="A50" s="35" t="s">
        <v>55</v>
      </c>
      <c r="B50" s="36">
        <v>1601</v>
      </c>
      <c r="C50" s="54">
        <v>0</v>
      </c>
      <c r="D50" s="48">
        <v>0</v>
      </c>
      <c r="E50" s="53">
        <v>0</v>
      </c>
      <c r="F50" s="49">
        <v>-4.99</v>
      </c>
      <c r="G50" s="55">
        <v>-6.34</v>
      </c>
      <c r="H50" s="68">
        <v>0</v>
      </c>
      <c r="I50" s="78">
        <v>-0.7</v>
      </c>
      <c r="J50" s="79"/>
      <c r="K50" s="8">
        <v>20.81</v>
      </c>
      <c r="L50" s="9">
        <v>-0.42</v>
      </c>
      <c r="M50" s="9">
        <v>-2.67</v>
      </c>
      <c r="N50" s="9">
        <v>-7.33</v>
      </c>
      <c r="O50" s="14">
        <v>0.60069444444444442</v>
      </c>
      <c r="P50" s="18"/>
    </row>
    <row r="51" spans="1:16" ht="17" thickBot="1" x14ac:dyDescent="0.25">
      <c r="A51" s="35" t="s">
        <v>56</v>
      </c>
      <c r="B51" s="36">
        <v>714.6</v>
      </c>
      <c r="C51" s="54">
        <v>0</v>
      </c>
      <c r="D51" s="48">
        <v>0</v>
      </c>
      <c r="E51" s="49">
        <v>-0.18</v>
      </c>
      <c r="F51" s="49">
        <v>-9.98</v>
      </c>
      <c r="G51" s="55">
        <v>-11.13</v>
      </c>
      <c r="H51" s="68">
        <v>0</v>
      </c>
      <c r="I51" s="69"/>
      <c r="J51" s="70"/>
      <c r="K51" s="8">
        <v>0</v>
      </c>
      <c r="L51" s="10">
        <v>0</v>
      </c>
      <c r="M51" s="9">
        <v>-4.99</v>
      </c>
      <c r="N51" s="9">
        <v>-6.34</v>
      </c>
      <c r="O51" s="14">
        <v>0.60138888888888886</v>
      </c>
      <c r="P51" s="18"/>
    </row>
    <row r="52" spans="1:16" ht="17" thickBot="1" x14ac:dyDescent="0.25">
      <c r="A52" s="35" t="s">
        <v>57</v>
      </c>
      <c r="B52" s="36">
        <v>6575</v>
      </c>
      <c r="C52" s="54">
        <v>0.8</v>
      </c>
      <c r="D52" s="48">
        <v>0.26</v>
      </c>
      <c r="E52" s="53">
        <v>2.27</v>
      </c>
      <c r="F52" s="53">
        <v>3.23</v>
      </c>
      <c r="G52" s="50">
        <v>47.78</v>
      </c>
      <c r="H52" s="68">
        <v>0</v>
      </c>
      <c r="I52" s="69"/>
      <c r="J52" s="70"/>
      <c r="K52" s="8">
        <v>0</v>
      </c>
      <c r="L52" s="9">
        <v>-0.18</v>
      </c>
      <c r="M52" s="9">
        <v>-9.98</v>
      </c>
      <c r="N52" s="9">
        <v>-11.13</v>
      </c>
      <c r="O52" s="14">
        <v>0.60138888888888886</v>
      </c>
      <c r="P52" s="18"/>
    </row>
    <row r="53" spans="1:16" ht="17" thickBot="1" x14ac:dyDescent="0.25">
      <c r="A53" s="35" t="s">
        <v>58</v>
      </c>
      <c r="B53" s="36">
        <v>54.4</v>
      </c>
      <c r="C53" s="54">
        <v>0</v>
      </c>
      <c r="D53" s="48">
        <v>0</v>
      </c>
      <c r="E53" s="53">
        <v>0.74</v>
      </c>
      <c r="F53" s="53">
        <v>0.37</v>
      </c>
      <c r="G53" s="50">
        <v>10.57</v>
      </c>
      <c r="H53" s="68">
        <v>0</v>
      </c>
      <c r="I53" s="69">
        <v>0.8</v>
      </c>
      <c r="J53" s="70"/>
      <c r="K53" s="8">
        <v>0.26</v>
      </c>
      <c r="L53" s="10">
        <v>2.27</v>
      </c>
      <c r="M53" s="10">
        <v>3.23</v>
      </c>
      <c r="N53" s="10">
        <v>47.78</v>
      </c>
      <c r="O53" s="14">
        <v>0.60138888888888886</v>
      </c>
      <c r="P53" s="18"/>
    </row>
    <row r="54" spans="1:16" ht="17" thickBot="1" x14ac:dyDescent="0.25">
      <c r="A54" s="35" t="s">
        <v>59</v>
      </c>
      <c r="B54" s="36">
        <v>50.6</v>
      </c>
      <c r="C54" s="54">
        <v>0</v>
      </c>
      <c r="D54" s="48">
        <v>0</v>
      </c>
      <c r="E54" s="53">
        <v>0</v>
      </c>
      <c r="F54" s="53">
        <v>0</v>
      </c>
      <c r="G54" s="50">
        <v>21.93</v>
      </c>
      <c r="H54" s="68">
        <v>0</v>
      </c>
      <c r="I54" s="69"/>
      <c r="J54" s="70"/>
      <c r="K54" s="8">
        <v>0</v>
      </c>
      <c r="L54" s="10">
        <v>0.74</v>
      </c>
      <c r="M54" s="10">
        <v>0.37</v>
      </c>
      <c r="N54" s="10">
        <v>10.57</v>
      </c>
      <c r="O54" s="14">
        <v>0.60069444444444442</v>
      </c>
      <c r="P54" s="18"/>
    </row>
    <row r="55" spans="1:16" ht="17" thickBot="1" x14ac:dyDescent="0.25">
      <c r="A55" s="35" t="s">
        <v>60</v>
      </c>
      <c r="B55" s="36">
        <v>157.19999999999999</v>
      </c>
      <c r="C55" s="47">
        <v>-3.91</v>
      </c>
      <c r="D55" s="48">
        <v>0</v>
      </c>
      <c r="E55" s="49">
        <v>-3.14</v>
      </c>
      <c r="F55" s="49">
        <v>-6.71</v>
      </c>
      <c r="G55" s="55">
        <v>-27.96</v>
      </c>
      <c r="H55" s="68">
        <v>0</v>
      </c>
      <c r="I55" s="69"/>
      <c r="J55" s="70"/>
      <c r="K55" s="8">
        <v>0</v>
      </c>
      <c r="L55" s="10">
        <v>0</v>
      </c>
      <c r="M55" s="10">
        <v>0</v>
      </c>
      <c r="N55" s="10">
        <v>21.93</v>
      </c>
      <c r="O55" s="14">
        <v>0.60138888888888886</v>
      </c>
      <c r="P55" s="18"/>
    </row>
    <row r="56" spans="1:16" ht="17" thickBot="1" x14ac:dyDescent="0.25">
      <c r="A56" s="35" t="s">
        <v>61</v>
      </c>
      <c r="B56" s="36">
        <v>118.8</v>
      </c>
      <c r="C56" s="54">
        <v>1.71</v>
      </c>
      <c r="D56" s="48">
        <v>0.11</v>
      </c>
      <c r="E56" s="53">
        <v>1.89</v>
      </c>
      <c r="F56" s="53">
        <v>0.51</v>
      </c>
      <c r="G56" s="50">
        <v>7.32</v>
      </c>
      <c r="H56" s="68">
        <v>0</v>
      </c>
      <c r="I56" s="78">
        <v>-3.91</v>
      </c>
      <c r="J56" s="79"/>
      <c r="K56" s="8">
        <v>0</v>
      </c>
      <c r="L56" s="9">
        <v>-3.14</v>
      </c>
      <c r="M56" s="9">
        <v>-6.71</v>
      </c>
      <c r="N56" s="9">
        <v>-27.96</v>
      </c>
      <c r="O56" s="14">
        <v>0.60069444444444442</v>
      </c>
      <c r="P56" s="18"/>
    </row>
    <row r="57" spans="1:16" ht="17" customHeight="1" thickBot="1" x14ac:dyDescent="0.25">
      <c r="A57" s="35" t="s">
        <v>62</v>
      </c>
      <c r="B57" s="36">
        <v>707.3</v>
      </c>
      <c r="C57" s="47">
        <v>-0.65</v>
      </c>
      <c r="D57" s="48">
        <v>0.03</v>
      </c>
      <c r="E57" s="49">
        <v>-0.03</v>
      </c>
      <c r="F57" s="53">
        <v>2.73</v>
      </c>
      <c r="G57" s="50">
        <v>47.57</v>
      </c>
      <c r="H57" s="68">
        <v>0</v>
      </c>
      <c r="I57" s="69">
        <v>1.71</v>
      </c>
      <c r="J57" s="70"/>
      <c r="K57" s="8">
        <v>0.11</v>
      </c>
      <c r="L57" s="10">
        <v>1.89</v>
      </c>
      <c r="M57" s="10">
        <v>0.51</v>
      </c>
      <c r="N57" s="10">
        <v>7.32</v>
      </c>
      <c r="O57" s="14">
        <v>0.60069444444444442</v>
      </c>
      <c r="P57" s="18"/>
    </row>
    <row r="58" spans="1:16" ht="17" thickBot="1" x14ac:dyDescent="0.25">
      <c r="A58" s="35" t="s">
        <v>63</v>
      </c>
      <c r="B58" s="36">
        <v>635.70000000000005</v>
      </c>
      <c r="C58" s="54">
        <v>1.07</v>
      </c>
      <c r="D58" s="48">
        <v>0.05</v>
      </c>
      <c r="E58" s="53">
        <v>0.81</v>
      </c>
      <c r="F58" s="53">
        <v>1.71</v>
      </c>
      <c r="G58" s="50">
        <v>9.56</v>
      </c>
      <c r="H58" s="68">
        <v>0</v>
      </c>
      <c r="I58" s="78">
        <v>-0.65</v>
      </c>
      <c r="J58" s="79"/>
      <c r="K58" s="8">
        <v>0.03</v>
      </c>
      <c r="L58" s="9">
        <v>-0.03</v>
      </c>
      <c r="M58" s="10">
        <v>2.73</v>
      </c>
      <c r="N58" s="10">
        <v>47.57</v>
      </c>
      <c r="O58" s="14">
        <v>0.60069444444444442</v>
      </c>
      <c r="P58" s="18"/>
    </row>
    <row r="59" spans="1:16" ht="17" thickBot="1" x14ac:dyDescent="0.25">
      <c r="A59" s="35" t="s">
        <v>64</v>
      </c>
      <c r="B59" s="36">
        <v>13220</v>
      </c>
      <c r="C59" s="54">
        <v>0.46</v>
      </c>
      <c r="D59" s="48">
        <v>0.26</v>
      </c>
      <c r="E59" s="49">
        <v>-1.42</v>
      </c>
      <c r="F59" s="49">
        <v>-3.22</v>
      </c>
      <c r="G59" s="50">
        <v>20.83</v>
      </c>
      <c r="H59" s="68">
        <v>0</v>
      </c>
      <c r="I59" s="69">
        <v>1.07</v>
      </c>
      <c r="J59" s="70"/>
      <c r="K59" s="8">
        <v>0.05</v>
      </c>
      <c r="L59" s="10">
        <v>0.81</v>
      </c>
      <c r="M59" s="10">
        <v>1.71</v>
      </c>
      <c r="N59" s="10">
        <v>9.56</v>
      </c>
      <c r="O59" s="14">
        <v>0.60069444444444442</v>
      </c>
      <c r="P59" s="18"/>
    </row>
    <row r="60" spans="1:16" ht="17" thickBot="1" x14ac:dyDescent="0.25">
      <c r="A60" s="35" t="s">
        <v>65</v>
      </c>
      <c r="B60" s="36">
        <v>10040</v>
      </c>
      <c r="C60" s="47">
        <v>-0.2</v>
      </c>
      <c r="D60" s="48">
        <v>0.32</v>
      </c>
      <c r="E60" s="53">
        <v>1.41</v>
      </c>
      <c r="F60" s="53">
        <v>3.39</v>
      </c>
      <c r="G60" s="50">
        <v>8.66</v>
      </c>
      <c r="H60" s="68">
        <v>0</v>
      </c>
      <c r="I60" s="69">
        <v>0.46</v>
      </c>
      <c r="J60" s="70"/>
      <c r="K60" s="8">
        <v>0.26</v>
      </c>
      <c r="L60" s="9">
        <v>-1.42</v>
      </c>
      <c r="M60" s="9">
        <v>-3.22</v>
      </c>
      <c r="N60" s="10">
        <v>20.83</v>
      </c>
      <c r="O60" s="14">
        <v>0.60069444444444442</v>
      </c>
      <c r="P60" s="18"/>
    </row>
    <row r="61" spans="1:16" ht="17" thickBot="1" x14ac:dyDescent="0.25">
      <c r="A61" s="35" t="s">
        <v>66</v>
      </c>
      <c r="B61" s="36">
        <v>40.6</v>
      </c>
      <c r="C61" s="54">
        <v>0</v>
      </c>
      <c r="D61" s="48">
        <v>0.04</v>
      </c>
      <c r="E61" s="49">
        <v>-0.98</v>
      </c>
      <c r="F61" s="49">
        <v>-1.46</v>
      </c>
      <c r="G61" s="50">
        <v>24.54</v>
      </c>
      <c r="H61" s="68">
        <v>0</v>
      </c>
      <c r="I61" s="78">
        <v>-0.2</v>
      </c>
      <c r="J61" s="79"/>
      <c r="K61" s="8">
        <v>0.32</v>
      </c>
      <c r="L61" s="10">
        <v>1.41</v>
      </c>
      <c r="M61" s="10">
        <v>3.39</v>
      </c>
      <c r="N61" s="10">
        <v>8.66</v>
      </c>
      <c r="O61" s="14">
        <v>0.60138888888888886</v>
      </c>
      <c r="P61" s="18"/>
    </row>
    <row r="62" spans="1:16" ht="17" customHeight="1" thickBot="1" x14ac:dyDescent="0.25">
      <c r="A62" s="35" t="s">
        <v>67</v>
      </c>
      <c r="B62" s="36">
        <v>16330</v>
      </c>
      <c r="C62" s="47">
        <v>-1.1499999999999999</v>
      </c>
      <c r="D62" s="48">
        <v>3.21</v>
      </c>
      <c r="E62" s="53">
        <v>0.55000000000000004</v>
      </c>
      <c r="F62" s="49">
        <v>-1.8</v>
      </c>
      <c r="G62" s="50">
        <v>34.26</v>
      </c>
      <c r="H62" s="68">
        <v>0</v>
      </c>
      <c r="I62" s="69"/>
      <c r="J62" s="70"/>
      <c r="K62" s="8">
        <v>0.04</v>
      </c>
      <c r="L62" s="9">
        <v>-0.98</v>
      </c>
      <c r="M62" s="9">
        <v>-1.46</v>
      </c>
      <c r="N62" s="10">
        <v>24.54</v>
      </c>
      <c r="O62" s="14">
        <v>0.60138888888888886</v>
      </c>
      <c r="P62" s="18"/>
    </row>
    <row r="63" spans="1:16" ht="17" thickBot="1" x14ac:dyDescent="0.25">
      <c r="A63" s="35" t="s">
        <v>68</v>
      </c>
      <c r="B63" s="36">
        <v>1609</v>
      </c>
      <c r="C63" s="54">
        <v>0.69</v>
      </c>
      <c r="D63" s="48">
        <v>0</v>
      </c>
      <c r="E63" s="53">
        <v>1</v>
      </c>
      <c r="F63" s="53">
        <v>4.75</v>
      </c>
      <c r="G63" s="50">
        <v>21.62</v>
      </c>
      <c r="H63" s="68">
        <v>0</v>
      </c>
      <c r="I63" s="78">
        <v>-1.1499999999999999</v>
      </c>
      <c r="J63" s="79"/>
      <c r="K63" s="8">
        <v>3.21</v>
      </c>
      <c r="L63" s="10">
        <v>0.55000000000000004</v>
      </c>
      <c r="M63" s="9">
        <v>-1.8</v>
      </c>
      <c r="N63" s="10">
        <v>34.26</v>
      </c>
      <c r="O63" s="14">
        <v>0.60069444444444442</v>
      </c>
      <c r="P63" s="18"/>
    </row>
    <row r="64" spans="1:16" ht="17" thickBot="1" x14ac:dyDescent="0.25">
      <c r="A64" s="35" t="s">
        <v>69</v>
      </c>
      <c r="B64" s="36">
        <v>148.9</v>
      </c>
      <c r="C64" s="54">
        <v>0.2</v>
      </c>
      <c r="D64" s="48">
        <v>0.03</v>
      </c>
      <c r="E64" s="53">
        <v>1.92</v>
      </c>
      <c r="F64" s="53">
        <v>1.57</v>
      </c>
      <c r="G64" s="50">
        <v>15.64</v>
      </c>
      <c r="H64" s="68">
        <v>0</v>
      </c>
      <c r="I64" s="69">
        <v>0.69</v>
      </c>
      <c r="J64" s="70"/>
      <c r="K64" s="8">
        <v>0</v>
      </c>
      <c r="L64" s="10">
        <v>1</v>
      </c>
      <c r="M64" s="10">
        <v>4.75</v>
      </c>
      <c r="N64" s="10">
        <v>21.62</v>
      </c>
      <c r="O64" s="14">
        <v>0.60069444444444442</v>
      </c>
      <c r="P64" s="18"/>
    </row>
    <row r="65" spans="1:16" ht="17" thickBot="1" x14ac:dyDescent="0.25">
      <c r="A65" s="35" t="s">
        <v>70</v>
      </c>
      <c r="B65" s="36">
        <v>2763</v>
      </c>
      <c r="C65" s="54">
        <v>0</v>
      </c>
      <c r="D65" s="48">
        <v>0</v>
      </c>
      <c r="E65" s="53">
        <v>0</v>
      </c>
      <c r="F65" s="49">
        <v>-2.95</v>
      </c>
      <c r="G65" s="55">
        <v>-3.76</v>
      </c>
      <c r="H65" s="68">
        <v>0</v>
      </c>
      <c r="I65" s="69">
        <v>0.2</v>
      </c>
      <c r="J65" s="70"/>
      <c r="K65" s="8">
        <v>0.03</v>
      </c>
      <c r="L65" s="10">
        <v>1.92</v>
      </c>
      <c r="M65" s="10">
        <v>1.57</v>
      </c>
      <c r="N65" s="10">
        <v>15.64</v>
      </c>
      <c r="O65" s="14">
        <v>0.60069444444444442</v>
      </c>
      <c r="P65" s="18"/>
    </row>
    <row r="66" spans="1:16" ht="17" thickBot="1" x14ac:dyDescent="0.25">
      <c r="A66" s="35" t="s">
        <v>71</v>
      </c>
      <c r="B66" s="36">
        <v>125.5</v>
      </c>
      <c r="C66" s="47">
        <v>-0.16</v>
      </c>
      <c r="D66" s="48">
        <v>0.03</v>
      </c>
      <c r="E66" s="53">
        <v>0.08</v>
      </c>
      <c r="F66" s="49">
        <v>-2.56</v>
      </c>
      <c r="G66" s="50">
        <v>37.31</v>
      </c>
      <c r="H66" s="68">
        <v>0</v>
      </c>
      <c r="I66" s="69"/>
      <c r="J66" s="70"/>
      <c r="K66" s="8">
        <v>0</v>
      </c>
      <c r="L66" s="10">
        <v>0</v>
      </c>
      <c r="M66" s="9">
        <v>-2.95</v>
      </c>
      <c r="N66" s="9">
        <v>-3.76</v>
      </c>
      <c r="O66" s="14">
        <v>0.60069444444444442</v>
      </c>
      <c r="P66" s="18"/>
    </row>
    <row r="67" spans="1:16" ht="17" thickBot="1" x14ac:dyDescent="0.25">
      <c r="A67" s="35" t="s">
        <v>72</v>
      </c>
      <c r="B67" s="36">
        <v>342.5</v>
      </c>
      <c r="C67" s="54">
        <v>0</v>
      </c>
      <c r="D67" s="48">
        <v>0</v>
      </c>
      <c r="E67" s="53">
        <v>0</v>
      </c>
      <c r="F67" s="49">
        <v>-1.97</v>
      </c>
      <c r="G67" s="50">
        <v>5.08</v>
      </c>
      <c r="H67" s="68">
        <v>0</v>
      </c>
      <c r="I67" s="78">
        <v>-0.16</v>
      </c>
      <c r="J67" s="79"/>
      <c r="K67" s="8">
        <v>0.03</v>
      </c>
      <c r="L67" s="10">
        <v>0.08</v>
      </c>
      <c r="M67" s="9">
        <v>-2.56</v>
      </c>
      <c r="N67" s="10">
        <v>37.31</v>
      </c>
      <c r="O67" s="14">
        <v>0.60138888888888886</v>
      </c>
      <c r="P67" s="18"/>
    </row>
    <row r="68" spans="1:16" ht="17" thickBot="1" x14ac:dyDescent="0.25">
      <c r="A68" s="35" t="s">
        <v>73</v>
      </c>
      <c r="B68" s="36">
        <v>792.2</v>
      </c>
      <c r="C68" s="47">
        <v>-3.99</v>
      </c>
      <c r="D68" s="48">
        <v>0.38</v>
      </c>
      <c r="E68" s="53">
        <v>1.34</v>
      </c>
      <c r="F68" s="49">
        <v>-2.15</v>
      </c>
      <c r="G68" s="50">
        <v>515.67999999999995</v>
      </c>
      <c r="H68" s="68">
        <v>0</v>
      </c>
      <c r="I68" s="69"/>
      <c r="J68" s="70"/>
      <c r="K68" s="8">
        <v>0</v>
      </c>
      <c r="L68" s="10">
        <v>0</v>
      </c>
      <c r="M68" s="9">
        <v>-1.97</v>
      </c>
      <c r="N68" s="10">
        <v>5.08</v>
      </c>
      <c r="O68" s="14">
        <v>0.60138888888888886</v>
      </c>
      <c r="P68" s="18"/>
    </row>
    <row r="69" spans="1:16" ht="17" thickBot="1" x14ac:dyDescent="0.25">
      <c r="A69" s="35" t="s">
        <v>74</v>
      </c>
      <c r="B69" s="36">
        <v>4950</v>
      </c>
      <c r="C69" s="54">
        <v>0</v>
      </c>
      <c r="D69" s="48">
        <v>0</v>
      </c>
      <c r="E69" s="53">
        <v>0</v>
      </c>
      <c r="F69" s="53">
        <v>0</v>
      </c>
      <c r="G69" s="55">
        <v>-16.55</v>
      </c>
      <c r="H69" s="68">
        <v>0</v>
      </c>
      <c r="I69" s="78">
        <v>-3.99</v>
      </c>
      <c r="J69" s="79"/>
      <c r="K69" s="8">
        <v>0.38</v>
      </c>
      <c r="L69" s="10">
        <v>1.34</v>
      </c>
      <c r="M69" s="9">
        <v>-2.15</v>
      </c>
      <c r="N69" s="10">
        <v>515.67999999999995</v>
      </c>
      <c r="O69" s="14">
        <v>0.60138888888888886</v>
      </c>
      <c r="P69" s="18"/>
    </row>
    <row r="70" spans="1:16" ht="17" thickBot="1" x14ac:dyDescent="0.25">
      <c r="A70" s="35" t="s">
        <v>75</v>
      </c>
      <c r="B70" s="36">
        <v>1241</v>
      </c>
      <c r="C70" s="47">
        <v>-1.74</v>
      </c>
      <c r="D70" s="48">
        <v>0.01</v>
      </c>
      <c r="E70" s="53">
        <v>0.16</v>
      </c>
      <c r="F70" s="49">
        <v>-8.2799999999999994</v>
      </c>
      <c r="G70" s="50">
        <v>40.94</v>
      </c>
      <c r="H70" s="68">
        <v>0</v>
      </c>
      <c r="I70" s="69"/>
      <c r="J70" s="70"/>
      <c r="K70" s="8">
        <v>0</v>
      </c>
      <c r="L70" s="10">
        <v>0</v>
      </c>
      <c r="M70" s="10">
        <v>0</v>
      </c>
      <c r="N70" s="9">
        <v>-16.55</v>
      </c>
      <c r="O70" s="14">
        <v>0.60138888888888886</v>
      </c>
      <c r="P70" s="18"/>
    </row>
    <row r="71" spans="1:16" ht="17" thickBot="1" x14ac:dyDescent="0.25">
      <c r="A71" s="35" t="s">
        <v>76</v>
      </c>
      <c r="B71" s="36">
        <v>2386</v>
      </c>
      <c r="C71" s="54">
        <v>0.04</v>
      </c>
      <c r="D71" s="48">
        <v>0.08</v>
      </c>
      <c r="E71" s="53">
        <v>0.13</v>
      </c>
      <c r="F71" s="53">
        <v>0.25</v>
      </c>
      <c r="G71" s="50">
        <v>76.739999999999995</v>
      </c>
      <c r="H71" s="68">
        <v>0</v>
      </c>
      <c r="I71" s="78">
        <v>-1.74</v>
      </c>
      <c r="J71" s="79"/>
      <c r="K71" s="8">
        <v>0.01</v>
      </c>
      <c r="L71" s="10">
        <v>0.16</v>
      </c>
      <c r="M71" s="9">
        <v>-8.2799999999999994</v>
      </c>
      <c r="N71" s="10">
        <v>40.94</v>
      </c>
      <c r="O71" s="14">
        <v>0.60069444444444442</v>
      </c>
      <c r="P71" s="18"/>
    </row>
    <row r="72" spans="1:16" ht="17" thickBot="1" x14ac:dyDescent="0.25">
      <c r="A72" s="35" t="s">
        <v>77</v>
      </c>
      <c r="B72" s="36">
        <v>206.7</v>
      </c>
      <c r="C72" s="47">
        <v>-1.1000000000000001</v>
      </c>
      <c r="D72" s="48">
        <v>0.01</v>
      </c>
      <c r="E72" s="49">
        <v>-13.15</v>
      </c>
      <c r="F72" s="49">
        <v>-12.53</v>
      </c>
      <c r="G72" s="55">
        <v>-79.58</v>
      </c>
      <c r="H72" s="68">
        <v>0</v>
      </c>
      <c r="I72" s="69">
        <v>0.04</v>
      </c>
      <c r="J72" s="70"/>
      <c r="K72" s="8">
        <v>0.08</v>
      </c>
      <c r="L72" s="10">
        <v>0.13</v>
      </c>
      <c r="M72" s="10">
        <v>0.25</v>
      </c>
      <c r="N72" s="10">
        <v>76.739999999999995</v>
      </c>
      <c r="O72" s="14">
        <v>0.60069444444444442</v>
      </c>
      <c r="P72" s="18"/>
    </row>
    <row r="73" spans="1:16" ht="17" thickBot="1" x14ac:dyDescent="0.25">
      <c r="A73" s="35" t="s">
        <v>78</v>
      </c>
      <c r="B73" s="36">
        <v>640.6</v>
      </c>
      <c r="C73" s="54">
        <v>0</v>
      </c>
      <c r="D73" s="48">
        <v>0</v>
      </c>
      <c r="E73" s="53">
        <v>0</v>
      </c>
      <c r="F73" s="49">
        <v>-0.25</v>
      </c>
      <c r="G73" s="50">
        <v>9.1300000000000008</v>
      </c>
      <c r="H73" s="68">
        <v>0</v>
      </c>
      <c r="I73" s="78">
        <v>-1.1000000000000001</v>
      </c>
      <c r="J73" s="79"/>
      <c r="K73" s="8">
        <v>0.01</v>
      </c>
      <c r="L73" s="9">
        <v>-13.15</v>
      </c>
      <c r="M73" s="9">
        <v>-12.53</v>
      </c>
      <c r="N73" s="9">
        <v>-79.58</v>
      </c>
      <c r="O73" s="14">
        <v>0.60069444444444442</v>
      </c>
      <c r="P73" s="18"/>
    </row>
    <row r="74" spans="1:16" ht="17" thickBot="1" x14ac:dyDescent="0.25">
      <c r="A74" s="35" t="s">
        <v>79</v>
      </c>
      <c r="B74" s="36">
        <v>6.1</v>
      </c>
      <c r="C74" s="54">
        <v>0</v>
      </c>
      <c r="D74" s="48">
        <v>0</v>
      </c>
      <c r="E74" s="53">
        <v>0</v>
      </c>
      <c r="F74" s="49">
        <v>-3.17</v>
      </c>
      <c r="G74" s="55">
        <v>-33.700000000000003</v>
      </c>
      <c r="H74" s="68">
        <v>0</v>
      </c>
      <c r="I74" s="69"/>
      <c r="J74" s="70"/>
      <c r="K74" s="8">
        <v>0</v>
      </c>
      <c r="L74" s="10">
        <v>0</v>
      </c>
      <c r="M74" s="9">
        <v>-0.25</v>
      </c>
      <c r="N74" s="10">
        <v>9.1300000000000008</v>
      </c>
      <c r="O74" s="14">
        <v>0.60069444444444442</v>
      </c>
      <c r="P74" s="18"/>
    </row>
    <row r="75" spans="1:16" ht="17" thickBot="1" x14ac:dyDescent="0.25">
      <c r="A75" s="35" t="s">
        <v>80</v>
      </c>
      <c r="B75" s="36">
        <v>6.5</v>
      </c>
      <c r="C75" s="54">
        <v>0</v>
      </c>
      <c r="D75" s="48">
        <v>0</v>
      </c>
      <c r="E75" s="53">
        <v>3.17</v>
      </c>
      <c r="F75" s="49">
        <v>-1.52</v>
      </c>
      <c r="G75" s="55">
        <v>-4.41</v>
      </c>
      <c r="H75" s="68">
        <v>0</v>
      </c>
      <c r="I75" s="69"/>
      <c r="J75" s="70"/>
      <c r="K75" s="8">
        <v>0</v>
      </c>
      <c r="L75" s="10">
        <v>0</v>
      </c>
      <c r="M75" s="9">
        <v>-3.17</v>
      </c>
      <c r="N75" s="9">
        <v>-33.700000000000003</v>
      </c>
      <c r="O75" s="14">
        <v>0.60138888888888886</v>
      </c>
      <c r="P75" s="18"/>
    </row>
    <row r="76" spans="1:16" ht="17" thickBot="1" x14ac:dyDescent="0.25">
      <c r="A76" s="35" t="s">
        <v>81</v>
      </c>
      <c r="B76" s="36">
        <v>1639</v>
      </c>
      <c r="C76" s="54">
        <v>0.74</v>
      </c>
      <c r="D76" s="48">
        <v>0</v>
      </c>
      <c r="E76" s="53">
        <v>0.92</v>
      </c>
      <c r="F76" s="49">
        <v>-1.32</v>
      </c>
      <c r="G76" s="50">
        <v>58.24</v>
      </c>
      <c r="H76" s="68">
        <v>0</v>
      </c>
      <c r="I76" s="69"/>
      <c r="J76" s="70"/>
      <c r="K76" s="8">
        <v>0</v>
      </c>
      <c r="L76" s="10">
        <v>3.17</v>
      </c>
      <c r="M76" s="9">
        <v>-1.52</v>
      </c>
      <c r="N76" s="9">
        <v>-4.41</v>
      </c>
      <c r="O76" s="14">
        <v>0.60069444444444442</v>
      </c>
      <c r="P76" s="18"/>
    </row>
    <row r="77" spans="1:16" ht="17" thickBot="1" x14ac:dyDescent="0.25">
      <c r="A77" s="35" t="s">
        <v>82</v>
      </c>
      <c r="B77" s="36">
        <v>201.6</v>
      </c>
      <c r="C77" s="54">
        <v>0.9</v>
      </c>
      <c r="D77" s="48">
        <v>0</v>
      </c>
      <c r="E77" s="53">
        <v>0.1</v>
      </c>
      <c r="F77" s="53">
        <v>3.92</v>
      </c>
      <c r="G77" s="50">
        <v>22.63</v>
      </c>
      <c r="H77" s="68">
        <v>0</v>
      </c>
      <c r="I77" s="69">
        <v>0.74</v>
      </c>
      <c r="J77" s="70"/>
      <c r="K77" s="8">
        <v>0</v>
      </c>
      <c r="L77" s="10">
        <v>0.92</v>
      </c>
      <c r="M77" s="9">
        <v>-1.32</v>
      </c>
      <c r="N77" s="10">
        <v>58.24</v>
      </c>
      <c r="O77" s="14">
        <v>0.60138888888888886</v>
      </c>
      <c r="P77" s="18"/>
    </row>
    <row r="78" spans="1:16" ht="17" thickBot="1" x14ac:dyDescent="0.25">
      <c r="A78" s="35" t="s">
        <v>83</v>
      </c>
      <c r="B78" s="36">
        <v>1267</v>
      </c>
      <c r="C78" s="47">
        <v>-1.0900000000000001</v>
      </c>
      <c r="D78" s="48">
        <v>7.0000000000000007E-2</v>
      </c>
      <c r="E78" s="49">
        <v>-1.48</v>
      </c>
      <c r="F78" s="49">
        <v>-2.2400000000000002</v>
      </c>
      <c r="G78" s="50">
        <v>37.11</v>
      </c>
      <c r="H78" s="68">
        <v>0</v>
      </c>
      <c r="I78" s="69">
        <v>0.9</v>
      </c>
      <c r="J78" s="70"/>
      <c r="K78" s="8">
        <v>0</v>
      </c>
      <c r="L78" s="10">
        <v>0.1</v>
      </c>
      <c r="M78" s="10">
        <v>3.92</v>
      </c>
      <c r="N78" s="10">
        <v>22.63</v>
      </c>
      <c r="O78" s="14">
        <v>0.60138888888888886</v>
      </c>
      <c r="P78" s="18"/>
    </row>
    <row r="79" spans="1:16" ht="17" thickBot="1" x14ac:dyDescent="0.25">
      <c r="A79" s="35" t="s">
        <v>84</v>
      </c>
      <c r="B79" s="36">
        <v>1507</v>
      </c>
      <c r="C79" s="54">
        <v>1.1399999999999999</v>
      </c>
      <c r="D79" s="48">
        <v>0.13</v>
      </c>
      <c r="E79" s="53">
        <v>1.76</v>
      </c>
      <c r="F79" s="49">
        <v>-0.79</v>
      </c>
      <c r="G79" s="50">
        <v>56.03</v>
      </c>
      <c r="H79" s="68">
        <v>0</v>
      </c>
      <c r="I79" s="78">
        <v>-1.0900000000000001</v>
      </c>
      <c r="J79" s="79"/>
      <c r="K79" s="8">
        <v>7.0000000000000007E-2</v>
      </c>
      <c r="L79" s="9">
        <v>-1.48</v>
      </c>
      <c r="M79" s="9">
        <v>-2.2400000000000002</v>
      </c>
      <c r="N79" s="10">
        <v>37.11</v>
      </c>
      <c r="O79" s="14">
        <v>0.60138888888888886</v>
      </c>
      <c r="P79" s="18"/>
    </row>
    <row r="80" spans="1:16" ht="17" thickBot="1" x14ac:dyDescent="0.25">
      <c r="A80" s="35" t="s">
        <v>85</v>
      </c>
      <c r="B80" s="36">
        <v>300.2</v>
      </c>
      <c r="C80" s="54">
        <v>2.21</v>
      </c>
      <c r="D80" s="48">
        <v>0.01</v>
      </c>
      <c r="E80" s="53">
        <v>0.67</v>
      </c>
      <c r="F80" s="53">
        <v>1.45</v>
      </c>
      <c r="G80" s="55">
        <v>-28.35</v>
      </c>
      <c r="H80" s="68">
        <v>0</v>
      </c>
      <c r="I80" s="69">
        <v>1.1399999999999999</v>
      </c>
      <c r="J80" s="70"/>
      <c r="K80" s="8">
        <v>0.13</v>
      </c>
      <c r="L80" s="10">
        <v>1.76</v>
      </c>
      <c r="M80" s="9">
        <v>-0.79</v>
      </c>
      <c r="N80" s="10">
        <v>56.03</v>
      </c>
      <c r="O80" s="14">
        <v>0.60069444444444442</v>
      </c>
      <c r="P80" s="18"/>
    </row>
    <row r="81" spans="1:16" ht="17" thickBot="1" x14ac:dyDescent="0.25">
      <c r="A81" s="35" t="s">
        <v>86</v>
      </c>
      <c r="B81" s="36">
        <v>8220</v>
      </c>
      <c r="C81" s="47">
        <v>-1.28</v>
      </c>
      <c r="D81" s="48">
        <v>0.28999999999999998</v>
      </c>
      <c r="E81" s="49">
        <v>-1.4</v>
      </c>
      <c r="F81" s="49">
        <v>-2.3199999999999998</v>
      </c>
      <c r="G81" s="50">
        <v>5.7</v>
      </c>
      <c r="H81" s="68">
        <v>0</v>
      </c>
      <c r="I81" s="69">
        <v>2.21</v>
      </c>
      <c r="J81" s="70"/>
      <c r="K81" s="8">
        <v>0.01</v>
      </c>
      <c r="L81" s="10">
        <v>0.67</v>
      </c>
      <c r="M81" s="10">
        <v>1.45</v>
      </c>
      <c r="N81" s="9">
        <v>-28.35</v>
      </c>
      <c r="O81" s="14">
        <v>0.60069444444444442</v>
      </c>
      <c r="P81" s="18"/>
    </row>
    <row r="82" spans="1:16" ht="17" thickBot="1" x14ac:dyDescent="0.25">
      <c r="A82" s="35" t="s">
        <v>87</v>
      </c>
      <c r="B82" s="36">
        <v>1560</v>
      </c>
      <c r="C82" s="54">
        <v>0.78</v>
      </c>
      <c r="D82" s="48">
        <v>7.0000000000000007E-2</v>
      </c>
      <c r="E82" s="53">
        <v>0.78</v>
      </c>
      <c r="F82" s="53">
        <v>4.5599999999999996</v>
      </c>
      <c r="G82" s="50">
        <v>17.47</v>
      </c>
      <c r="H82" s="51">
        <v>389015</v>
      </c>
      <c r="I82" s="78">
        <v>-1.28</v>
      </c>
      <c r="J82" s="79"/>
      <c r="K82" s="8">
        <v>0.28999999999999998</v>
      </c>
      <c r="L82" s="9">
        <v>-1.4</v>
      </c>
      <c r="M82" s="9">
        <v>-2.3199999999999998</v>
      </c>
      <c r="N82" s="10">
        <v>5.7</v>
      </c>
      <c r="O82" s="14">
        <v>0.60069444444444442</v>
      </c>
      <c r="P82" s="18"/>
    </row>
    <row r="83" spans="1:16" ht="17" thickBot="1" x14ac:dyDescent="0.25">
      <c r="A83" s="35" t="s">
        <v>88</v>
      </c>
      <c r="B83" s="36">
        <v>3310</v>
      </c>
      <c r="C83" s="47">
        <v>-0.51</v>
      </c>
      <c r="D83" s="48">
        <v>2.61</v>
      </c>
      <c r="E83" s="53">
        <v>1.85</v>
      </c>
      <c r="F83" s="49">
        <v>-2.42</v>
      </c>
      <c r="G83" s="50">
        <v>22.21</v>
      </c>
      <c r="H83" s="51">
        <v>390013</v>
      </c>
      <c r="I83" s="69">
        <v>0.78</v>
      </c>
      <c r="J83" s="70"/>
      <c r="K83" s="8">
        <v>7.0000000000000007E-2</v>
      </c>
      <c r="L83" s="10">
        <v>0.78</v>
      </c>
      <c r="M83" s="10">
        <v>4.5599999999999996</v>
      </c>
      <c r="N83" s="10">
        <v>17.47</v>
      </c>
      <c r="O83" s="14">
        <v>0.60069444444444442</v>
      </c>
      <c r="P83" s="18"/>
    </row>
    <row r="84" spans="1:16" ht="17" thickBot="1" x14ac:dyDescent="0.25">
      <c r="A84" s="35" t="s">
        <v>89</v>
      </c>
      <c r="B84" s="36">
        <v>2838</v>
      </c>
      <c r="C84" s="47">
        <v>-0.46</v>
      </c>
      <c r="D84" s="48">
        <v>0.01</v>
      </c>
      <c r="E84" s="53">
        <v>0.11</v>
      </c>
      <c r="F84" s="49">
        <v>-4.32</v>
      </c>
      <c r="G84" s="50">
        <v>59.08</v>
      </c>
      <c r="H84" s="68">
        <v>0</v>
      </c>
      <c r="I84" s="78">
        <v>-0.51</v>
      </c>
      <c r="J84" s="79"/>
      <c r="K84" s="8">
        <v>2.61</v>
      </c>
      <c r="L84" s="10">
        <v>1.85</v>
      </c>
      <c r="M84" s="9">
        <v>-2.42</v>
      </c>
      <c r="N84" s="10">
        <v>22.21</v>
      </c>
      <c r="O84" s="14">
        <v>0.60138888888888886</v>
      </c>
      <c r="P84" s="18"/>
    </row>
    <row r="85" spans="1:16" ht="17" thickBot="1" x14ac:dyDescent="0.25">
      <c r="A85" s="35" t="s">
        <v>90</v>
      </c>
      <c r="B85" s="36">
        <v>29.6</v>
      </c>
      <c r="C85" s="47">
        <v>-0.67</v>
      </c>
      <c r="D85" s="48">
        <v>3.57</v>
      </c>
      <c r="E85" s="49">
        <v>-1.99</v>
      </c>
      <c r="F85" s="49">
        <v>-2.31</v>
      </c>
      <c r="G85" s="50">
        <v>6.86</v>
      </c>
      <c r="H85" s="68">
        <v>0</v>
      </c>
      <c r="I85" s="78">
        <v>-0.46</v>
      </c>
      <c r="J85" s="79"/>
      <c r="K85" s="8">
        <v>0.01</v>
      </c>
      <c r="L85" s="10">
        <v>0.11</v>
      </c>
      <c r="M85" s="9">
        <v>-4.32</v>
      </c>
      <c r="N85" s="10">
        <v>59.08</v>
      </c>
      <c r="O85" s="14">
        <v>0.60138888888888886</v>
      </c>
      <c r="P85" s="18"/>
    </row>
    <row r="86" spans="1:16" ht="17" thickBot="1" x14ac:dyDescent="0.25">
      <c r="A86" s="35" t="s">
        <v>91</v>
      </c>
      <c r="B86" s="36">
        <v>1931</v>
      </c>
      <c r="C86" s="54">
        <v>1.05</v>
      </c>
      <c r="D86" s="48">
        <v>0.01</v>
      </c>
      <c r="E86" s="53">
        <v>3.76</v>
      </c>
      <c r="F86" s="49">
        <v>-8.57</v>
      </c>
      <c r="G86" s="55">
        <v>-11.42</v>
      </c>
      <c r="H86" s="68">
        <v>0</v>
      </c>
      <c r="I86" s="78">
        <v>-0.67</v>
      </c>
      <c r="J86" s="79"/>
      <c r="K86" s="8">
        <v>3.57</v>
      </c>
      <c r="L86" s="9">
        <v>-1.99</v>
      </c>
      <c r="M86" s="9">
        <v>-2.31</v>
      </c>
      <c r="N86" s="10">
        <v>6.86</v>
      </c>
      <c r="O86" s="14">
        <v>0.60069444444444442</v>
      </c>
      <c r="P86" s="18"/>
    </row>
    <row r="87" spans="1:16" ht="17" thickBot="1" x14ac:dyDescent="0.25">
      <c r="A87" s="35" t="s">
        <v>92</v>
      </c>
      <c r="B87" s="36">
        <v>4763</v>
      </c>
      <c r="C87" s="47">
        <v>-0.28999999999999998</v>
      </c>
      <c r="D87" s="48">
        <v>0.01</v>
      </c>
      <c r="E87" s="53">
        <v>0.59</v>
      </c>
      <c r="F87" s="49">
        <v>-0.56000000000000005</v>
      </c>
      <c r="G87" s="50">
        <v>84.57</v>
      </c>
      <c r="H87" s="68">
        <v>0</v>
      </c>
      <c r="I87" s="69">
        <v>1.05</v>
      </c>
      <c r="J87" s="70"/>
      <c r="K87" s="8">
        <v>0.01</v>
      </c>
      <c r="L87" s="10">
        <v>3.76</v>
      </c>
      <c r="M87" s="9">
        <v>-8.57</v>
      </c>
      <c r="N87" s="9">
        <v>-11.42</v>
      </c>
      <c r="O87" s="14">
        <v>0.60138888888888886</v>
      </c>
      <c r="P87" s="18"/>
    </row>
    <row r="88" spans="1:16" ht="17" thickBot="1" x14ac:dyDescent="0.25">
      <c r="A88" s="35" t="s">
        <v>93</v>
      </c>
      <c r="B88" s="36">
        <v>794.2</v>
      </c>
      <c r="C88" s="54">
        <v>0</v>
      </c>
      <c r="D88" s="48">
        <v>0</v>
      </c>
      <c r="E88" s="53">
        <v>3.14</v>
      </c>
      <c r="F88" s="53">
        <v>3.14</v>
      </c>
      <c r="G88" s="55">
        <v>-11.18</v>
      </c>
      <c r="H88" s="68">
        <v>0</v>
      </c>
      <c r="I88" s="78">
        <v>-0.28999999999999998</v>
      </c>
      <c r="J88" s="79"/>
      <c r="K88" s="8">
        <v>0.01</v>
      </c>
      <c r="L88" s="10">
        <v>0.59</v>
      </c>
      <c r="M88" s="9">
        <v>-0.56000000000000005</v>
      </c>
      <c r="N88" s="10">
        <v>84.57</v>
      </c>
      <c r="O88" s="14">
        <v>0.60138888888888886</v>
      </c>
      <c r="P88" s="18"/>
    </row>
    <row r="89" spans="1:16" ht="17" thickBot="1" x14ac:dyDescent="0.25">
      <c r="A89" s="35" t="s">
        <v>94</v>
      </c>
      <c r="B89" s="36">
        <v>8413</v>
      </c>
      <c r="C89" s="47">
        <v>-0.04</v>
      </c>
      <c r="D89" s="48">
        <v>0.12</v>
      </c>
      <c r="E89" s="49">
        <v>-2.67</v>
      </c>
      <c r="F89" s="49">
        <v>-0.45</v>
      </c>
      <c r="G89" s="50">
        <v>23.12</v>
      </c>
      <c r="H89" s="68">
        <v>0</v>
      </c>
      <c r="I89" s="69"/>
      <c r="J89" s="70"/>
      <c r="K89" s="8">
        <v>0</v>
      </c>
      <c r="L89" s="10">
        <v>3.14</v>
      </c>
      <c r="M89" s="10">
        <v>3.14</v>
      </c>
      <c r="N89" s="9">
        <v>-11.18</v>
      </c>
      <c r="O89" s="14">
        <v>0.60069444444444442</v>
      </c>
      <c r="P89" s="18"/>
    </row>
    <row r="90" spans="1:16" ht="17" thickBot="1" x14ac:dyDescent="0.25">
      <c r="A90" s="35" t="s">
        <v>95</v>
      </c>
      <c r="B90" s="36">
        <v>784</v>
      </c>
      <c r="C90" s="54">
        <v>0</v>
      </c>
      <c r="D90" s="48">
        <v>0</v>
      </c>
      <c r="E90" s="49">
        <v>-0.87</v>
      </c>
      <c r="F90" s="49">
        <v>-1.67</v>
      </c>
      <c r="G90" s="50">
        <v>21.43</v>
      </c>
      <c r="H90" s="68">
        <v>0</v>
      </c>
      <c r="I90" s="78">
        <v>-0.04</v>
      </c>
      <c r="J90" s="79"/>
      <c r="K90" s="8">
        <v>0.12</v>
      </c>
      <c r="L90" s="9">
        <v>-2.67</v>
      </c>
      <c r="M90" s="9">
        <v>-0.45</v>
      </c>
      <c r="N90" s="10">
        <v>23.12</v>
      </c>
      <c r="O90" s="14">
        <v>0.60138888888888886</v>
      </c>
      <c r="P90" s="18"/>
    </row>
    <row r="91" spans="1:16" ht="17" thickBot="1" x14ac:dyDescent="0.25">
      <c r="A91" s="35" t="s">
        <v>96</v>
      </c>
      <c r="B91" s="36">
        <v>1625</v>
      </c>
      <c r="C91" s="54">
        <v>0</v>
      </c>
      <c r="D91" s="48">
        <v>0</v>
      </c>
      <c r="E91" s="53">
        <v>0</v>
      </c>
      <c r="F91" s="53">
        <v>2.27</v>
      </c>
      <c r="G91" s="55">
        <v>-5.95</v>
      </c>
      <c r="H91" s="68">
        <v>0</v>
      </c>
      <c r="I91" s="69"/>
      <c r="J91" s="70"/>
      <c r="K91" s="8">
        <v>0</v>
      </c>
      <c r="L91" s="9">
        <v>-0.87</v>
      </c>
      <c r="M91" s="9">
        <v>-1.67</v>
      </c>
      <c r="N91" s="10">
        <v>21.43</v>
      </c>
      <c r="O91" s="14">
        <v>0.60069444444444442</v>
      </c>
      <c r="P91" s="18"/>
    </row>
    <row r="92" spans="1:16" ht="17" customHeight="1" thickBot="1" x14ac:dyDescent="0.25">
      <c r="A92" s="35" t="s">
        <v>97</v>
      </c>
      <c r="B92" s="36">
        <v>147.69999999999999</v>
      </c>
      <c r="C92" s="47">
        <v>-1.86</v>
      </c>
      <c r="D92" s="48">
        <v>0.01</v>
      </c>
      <c r="E92" s="49">
        <v>-3.46</v>
      </c>
      <c r="F92" s="49">
        <v>-5.92</v>
      </c>
      <c r="G92" s="50">
        <v>9.77</v>
      </c>
      <c r="H92" s="68">
        <v>0</v>
      </c>
      <c r="I92" s="69"/>
      <c r="J92" s="70"/>
      <c r="K92" s="8">
        <v>0</v>
      </c>
      <c r="L92" s="10">
        <v>0</v>
      </c>
      <c r="M92" s="10">
        <v>2.27</v>
      </c>
      <c r="N92" s="9">
        <v>-5.95</v>
      </c>
      <c r="O92" s="14">
        <v>0.60138888888888886</v>
      </c>
      <c r="P92" s="18"/>
    </row>
    <row r="93" spans="1:16" ht="17" thickBot="1" x14ac:dyDescent="0.25">
      <c r="A93" s="35" t="s">
        <v>98</v>
      </c>
      <c r="B93" s="36">
        <v>1029</v>
      </c>
      <c r="C93" s="54">
        <v>0</v>
      </c>
      <c r="D93" s="48">
        <v>0</v>
      </c>
      <c r="E93" s="53">
        <v>0</v>
      </c>
      <c r="F93" s="53">
        <v>1.98</v>
      </c>
      <c r="G93" s="50">
        <v>46.25</v>
      </c>
      <c r="H93" s="68">
        <v>0</v>
      </c>
      <c r="I93" s="78">
        <v>-1.86</v>
      </c>
      <c r="J93" s="79"/>
      <c r="K93" s="8">
        <v>0.01</v>
      </c>
      <c r="L93" s="9">
        <v>-3.46</v>
      </c>
      <c r="M93" s="9">
        <v>-5.92</v>
      </c>
      <c r="N93" s="10">
        <v>9.77</v>
      </c>
      <c r="O93" s="14">
        <v>0.60069444444444442</v>
      </c>
      <c r="P93" s="18"/>
    </row>
    <row r="94" spans="1:16" ht="17" thickBot="1" x14ac:dyDescent="0.25">
      <c r="A94" s="35" t="s">
        <v>99</v>
      </c>
      <c r="B94" s="36">
        <v>11270</v>
      </c>
      <c r="C94" s="54">
        <v>0.18</v>
      </c>
      <c r="D94" s="48">
        <v>0.06</v>
      </c>
      <c r="E94" s="49">
        <v>-1.49</v>
      </c>
      <c r="F94" s="49">
        <v>-0.09</v>
      </c>
      <c r="G94" s="50">
        <v>9.64</v>
      </c>
      <c r="H94" s="68">
        <v>0</v>
      </c>
      <c r="I94" s="69"/>
      <c r="J94" s="70"/>
      <c r="K94" s="8">
        <v>0</v>
      </c>
      <c r="L94" s="10">
        <v>0</v>
      </c>
      <c r="M94" s="10">
        <v>1.98</v>
      </c>
      <c r="N94" s="10">
        <v>46.25</v>
      </c>
      <c r="O94" s="14">
        <v>0.60069444444444442</v>
      </c>
      <c r="P94" s="18"/>
    </row>
    <row r="95" spans="1:16" ht="17" thickBot="1" x14ac:dyDescent="0.25">
      <c r="A95" s="35" t="s">
        <v>100</v>
      </c>
      <c r="B95" s="36">
        <v>117.3</v>
      </c>
      <c r="C95" s="47">
        <v>-2.09</v>
      </c>
      <c r="D95" s="48">
        <v>0.01</v>
      </c>
      <c r="E95" s="49">
        <v>-3.3</v>
      </c>
      <c r="F95" s="49">
        <v>-6.53</v>
      </c>
      <c r="G95" s="55">
        <v>-51.53</v>
      </c>
      <c r="H95" s="68">
        <v>0</v>
      </c>
      <c r="I95" s="69">
        <v>0.18</v>
      </c>
      <c r="J95" s="70"/>
      <c r="K95" s="8">
        <v>0.06</v>
      </c>
      <c r="L95" s="9">
        <v>-1.49</v>
      </c>
      <c r="M95" s="9">
        <v>-0.09</v>
      </c>
      <c r="N95" s="10">
        <v>9.64</v>
      </c>
      <c r="O95" s="14">
        <v>0.60138888888888886</v>
      </c>
      <c r="P95" s="18"/>
    </row>
    <row r="96" spans="1:16" ht="17" thickBot="1" x14ac:dyDescent="0.25">
      <c r="A96" s="35" t="s">
        <v>101</v>
      </c>
      <c r="B96" s="36">
        <v>345.5</v>
      </c>
      <c r="C96" s="54">
        <v>3.2</v>
      </c>
      <c r="D96" s="48">
        <v>0.35</v>
      </c>
      <c r="E96" s="53">
        <v>9.1300000000000008</v>
      </c>
      <c r="F96" s="53">
        <v>12.5</v>
      </c>
      <c r="G96" s="50">
        <v>116.75</v>
      </c>
      <c r="H96" s="68">
        <v>0</v>
      </c>
      <c r="I96" s="78">
        <v>-2.09</v>
      </c>
      <c r="J96" s="79"/>
      <c r="K96" s="8">
        <v>0.01</v>
      </c>
      <c r="L96" s="9">
        <v>-3.3</v>
      </c>
      <c r="M96" s="9">
        <v>-6.53</v>
      </c>
      <c r="N96" s="9">
        <v>-51.53</v>
      </c>
      <c r="O96" s="14">
        <v>0.60138888888888886</v>
      </c>
      <c r="P96" s="18"/>
    </row>
    <row r="97" spans="1:16" ht="17" thickBot="1" x14ac:dyDescent="0.25">
      <c r="A97" s="35" t="s">
        <v>102</v>
      </c>
      <c r="B97" s="36">
        <v>698.6</v>
      </c>
      <c r="C97" s="54">
        <v>0</v>
      </c>
      <c r="D97" s="48">
        <v>0</v>
      </c>
      <c r="E97" s="53">
        <v>0.97</v>
      </c>
      <c r="F97" s="49">
        <v>-8.1</v>
      </c>
      <c r="G97" s="50">
        <v>9.16</v>
      </c>
      <c r="H97" s="68">
        <v>0</v>
      </c>
      <c r="I97" s="69">
        <v>3.2</v>
      </c>
      <c r="J97" s="70"/>
      <c r="K97" s="8">
        <v>0.35</v>
      </c>
      <c r="L97" s="10">
        <v>9.1300000000000008</v>
      </c>
      <c r="M97" s="10">
        <v>12.5</v>
      </c>
      <c r="N97" s="10">
        <v>116.75</v>
      </c>
      <c r="O97" s="14">
        <v>0.60069444444444442</v>
      </c>
      <c r="P97" s="18"/>
    </row>
    <row r="98" spans="1:16" ht="17" thickBot="1" x14ac:dyDescent="0.25">
      <c r="A98" s="35" t="s">
        <v>103</v>
      </c>
      <c r="B98" s="36">
        <v>278</v>
      </c>
      <c r="C98" s="54">
        <v>0</v>
      </c>
      <c r="D98" s="48">
        <v>0</v>
      </c>
      <c r="E98" s="53">
        <v>0</v>
      </c>
      <c r="F98" s="53">
        <v>0</v>
      </c>
      <c r="G98" s="50">
        <v>7.34</v>
      </c>
      <c r="H98" s="68">
        <v>0</v>
      </c>
      <c r="I98" s="69"/>
      <c r="J98" s="70"/>
      <c r="K98" s="8">
        <v>0</v>
      </c>
      <c r="L98" s="10">
        <v>0.97</v>
      </c>
      <c r="M98" s="9">
        <v>-8.1</v>
      </c>
      <c r="N98" s="10">
        <v>9.16</v>
      </c>
      <c r="O98" s="14">
        <v>0.60069444444444442</v>
      </c>
      <c r="P98" s="18"/>
    </row>
    <row r="99" spans="1:16" ht="17" thickBot="1" x14ac:dyDescent="0.25">
      <c r="A99" s="35" t="s">
        <v>104</v>
      </c>
      <c r="B99" s="36">
        <v>1078</v>
      </c>
      <c r="C99" s="54">
        <v>2.1800000000000002</v>
      </c>
      <c r="D99" s="48">
        <v>0.01</v>
      </c>
      <c r="E99" s="53">
        <v>2.1800000000000002</v>
      </c>
      <c r="F99" s="53">
        <v>1.03</v>
      </c>
      <c r="G99" s="50">
        <v>15.65</v>
      </c>
      <c r="H99" s="68">
        <v>0</v>
      </c>
      <c r="I99" s="69"/>
      <c r="J99" s="70"/>
      <c r="K99" s="8">
        <v>0</v>
      </c>
      <c r="L99" s="10">
        <v>0</v>
      </c>
      <c r="M99" s="10">
        <v>0</v>
      </c>
      <c r="N99" s="10">
        <v>7.34</v>
      </c>
      <c r="O99" s="14">
        <v>0.60138888888888886</v>
      </c>
      <c r="P99" s="18"/>
    </row>
    <row r="100" spans="1:16" ht="17" thickBot="1" x14ac:dyDescent="0.25">
      <c r="A100" s="35" t="s">
        <v>105</v>
      </c>
      <c r="B100" s="36">
        <v>2756</v>
      </c>
      <c r="C100" s="54">
        <v>0.66</v>
      </c>
      <c r="D100" s="48">
        <v>0.47</v>
      </c>
      <c r="E100" s="53">
        <v>0.92</v>
      </c>
      <c r="F100" s="53">
        <v>2</v>
      </c>
      <c r="G100" s="50">
        <v>26.62</v>
      </c>
      <c r="H100" s="68">
        <v>0</v>
      </c>
      <c r="I100" s="69">
        <v>2.1800000000000002</v>
      </c>
      <c r="J100" s="70"/>
      <c r="K100" s="8">
        <v>0.01</v>
      </c>
      <c r="L100" s="10">
        <v>2.1800000000000002</v>
      </c>
      <c r="M100" s="10">
        <v>1.03</v>
      </c>
      <c r="N100" s="10">
        <v>15.65</v>
      </c>
      <c r="O100" s="14">
        <v>0.60069444444444442</v>
      </c>
      <c r="P100" s="18"/>
    </row>
    <row r="101" spans="1:16" ht="17" thickBot="1" x14ac:dyDescent="0.25">
      <c r="A101" s="35" t="s">
        <v>106</v>
      </c>
      <c r="B101" s="36">
        <v>674.1</v>
      </c>
      <c r="C101" s="47">
        <v>-2.2799999999999998</v>
      </c>
      <c r="D101" s="48">
        <v>0.17</v>
      </c>
      <c r="E101" s="53">
        <v>0.45</v>
      </c>
      <c r="F101" s="49">
        <v>-3.41</v>
      </c>
      <c r="G101" s="50">
        <v>105.27</v>
      </c>
      <c r="H101" s="68">
        <v>0</v>
      </c>
      <c r="I101" s="69">
        <v>0.66</v>
      </c>
      <c r="J101" s="70"/>
      <c r="K101" s="8">
        <v>0.47</v>
      </c>
      <c r="L101" s="10">
        <v>0.92</v>
      </c>
      <c r="M101" s="10">
        <v>2</v>
      </c>
      <c r="N101" s="10">
        <v>26.62</v>
      </c>
      <c r="O101" s="14">
        <v>0.60138888888888886</v>
      </c>
      <c r="P101" s="18"/>
    </row>
    <row r="102" spans="1:16" ht="17" customHeight="1" thickBot="1" x14ac:dyDescent="0.25">
      <c r="A102" s="35" t="s">
        <v>107</v>
      </c>
      <c r="B102" s="36">
        <v>68</v>
      </c>
      <c r="C102" s="54">
        <v>1.49</v>
      </c>
      <c r="D102" s="48">
        <v>0</v>
      </c>
      <c r="E102" s="53">
        <v>6.42</v>
      </c>
      <c r="F102" s="53">
        <v>3.98</v>
      </c>
      <c r="G102" s="55">
        <v>-23.74</v>
      </c>
      <c r="H102" s="68">
        <v>0</v>
      </c>
      <c r="I102" s="78">
        <v>-2.2799999999999998</v>
      </c>
      <c r="J102" s="79"/>
      <c r="K102" s="8">
        <v>0.17</v>
      </c>
      <c r="L102" s="10">
        <v>0.45</v>
      </c>
      <c r="M102" s="9">
        <v>-3.41</v>
      </c>
      <c r="N102" s="10">
        <v>105.27</v>
      </c>
      <c r="O102" s="14">
        <v>0.60069444444444442</v>
      </c>
      <c r="P102" s="18"/>
    </row>
    <row r="103" spans="1:16" ht="17" thickBot="1" x14ac:dyDescent="0.25">
      <c r="A103" s="35" t="s">
        <v>108</v>
      </c>
      <c r="B103" s="36">
        <v>127.7</v>
      </c>
      <c r="C103" s="47">
        <v>-7.8</v>
      </c>
      <c r="D103" s="48">
        <v>0.06</v>
      </c>
      <c r="E103" s="49">
        <v>-1.47</v>
      </c>
      <c r="F103" s="49">
        <v>-9.6199999999999992</v>
      </c>
      <c r="G103" s="55">
        <v>-5.55</v>
      </c>
      <c r="H103" s="51">
        <v>456012</v>
      </c>
      <c r="I103" s="69">
        <v>1.49</v>
      </c>
      <c r="J103" s="70"/>
      <c r="K103" s="8">
        <v>0</v>
      </c>
      <c r="L103" s="10">
        <v>6.42</v>
      </c>
      <c r="M103" s="10">
        <v>3.98</v>
      </c>
      <c r="N103" s="9">
        <v>-23.74</v>
      </c>
      <c r="O103" s="14">
        <v>0.60138888888888886</v>
      </c>
      <c r="P103" s="18"/>
    </row>
    <row r="104" spans="1:16" ht="17" thickBot="1" x14ac:dyDescent="0.25">
      <c r="A104" s="35" t="s">
        <v>109</v>
      </c>
      <c r="B104" s="36">
        <v>104.1</v>
      </c>
      <c r="C104" s="54">
        <v>4.41</v>
      </c>
      <c r="D104" s="48">
        <v>0.1</v>
      </c>
      <c r="E104" s="53">
        <v>6.99</v>
      </c>
      <c r="F104" s="53">
        <v>6.77</v>
      </c>
      <c r="G104" s="55">
        <v>-70.430000000000007</v>
      </c>
      <c r="H104" s="68">
        <v>0</v>
      </c>
      <c r="I104" s="78">
        <v>-7.8</v>
      </c>
      <c r="J104" s="79"/>
      <c r="K104" s="8">
        <v>0.06</v>
      </c>
      <c r="L104" s="9">
        <v>-1.47</v>
      </c>
      <c r="M104" s="9">
        <v>-9.6199999999999992</v>
      </c>
      <c r="N104" s="9">
        <v>-5.55</v>
      </c>
      <c r="O104" s="14">
        <v>0.60138888888888886</v>
      </c>
      <c r="P104" s="18"/>
    </row>
    <row r="105" spans="1:16" ht="17" customHeight="1" thickBot="1" x14ac:dyDescent="0.25">
      <c r="A105" s="35" t="s">
        <v>110</v>
      </c>
      <c r="B105" s="36">
        <v>60.3</v>
      </c>
      <c r="C105" s="47">
        <v>-3.67</v>
      </c>
      <c r="D105" s="48">
        <v>0.03</v>
      </c>
      <c r="E105" s="49">
        <v>-1.47</v>
      </c>
      <c r="F105" s="49">
        <v>-4.4400000000000004</v>
      </c>
      <c r="G105" s="50">
        <v>13.56</v>
      </c>
      <c r="H105" s="68">
        <v>0</v>
      </c>
      <c r="I105" s="69">
        <v>4.41</v>
      </c>
      <c r="J105" s="70"/>
      <c r="K105" s="8">
        <v>0.1</v>
      </c>
      <c r="L105" s="10">
        <v>6.99</v>
      </c>
      <c r="M105" s="10">
        <v>6.77</v>
      </c>
      <c r="N105" s="9">
        <v>-70.430000000000007</v>
      </c>
      <c r="O105" s="14">
        <v>0.60138888888888886</v>
      </c>
      <c r="P105" s="18"/>
    </row>
    <row r="106" spans="1:16" ht="17" thickBot="1" x14ac:dyDescent="0.25">
      <c r="A106" s="35" t="s">
        <v>111</v>
      </c>
      <c r="B106" s="36">
        <v>9.6999999999999993</v>
      </c>
      <c r="C106" s="54">
        <v>0</v>
      </c>
      <c r="D106" s="48">
        <v>0</v>
      </c>
      <c r="E106" s="53">
        <v>2.11</v>
      </c>
      <c r="F106" s="53">
        <v>1.04</v>
      </c>
      <c r="G106" s="50">
        <v>21.25</v>
      </c>
      <c r="H106" s="68">
        <v>0</v>
      </c>
      <c r="I106" s="78">
        <v>-3.67</v>
      </c>
      <c r="J106" s="79"/>
      <c r="K106" s="8">
        <v>0.03</v>
      </c>
      <c r="L106" s="9">
        <v>-1.47</v>
      </c>
      <c r="M106" s="9">
        <v>-4.4400000000000004</v>
      </c>
      <c r="N106" s="10">
        <v>13.56</v>
      </c>
      <c r="O106" s="14">
        <v>0.60138888888888886</v>
      </c>
      <c r="P106" s="18"/>
    </row>
    <row r="107" spans="1:16" ht="17" customHeight="1" thickBot="1" x14ac:dyDescent="0.25">
      <c r="A107" s="35" t="s">
        <v>112</v>
      </c>
      <c r="B107" s="36">
        <v>1385</v>
      </c>
      <c r="C107" s="47">
        <v>-1.1399999999999999</v>
      </c>
      <c r="D107" s="48">
        <v>2.4500000000000002</v>
      </c>
      <c r="E107" s="49">
        <v>-0.72</v>
      </c>
      <c r="F107" s="53">
        <v>0</v>
      </c>
      <c r="G107" s="50">
        <v>13.44</v>
      </c>
      <c r="H107" s="68">
        <v>0</v>
      </c>
      <c r="I107" s="69"/>
      <c r="J107" s="70"/>
      <c r="K107" s="8">
        <v>0</v>
      </c>
      <c r="L107" s="10">
        <v>2.11</v>
      </c>
      <c r="M107" s="10">
        <v>1.04</v>
      </c>
      <c r="N107" s="10">
        <v>21.25</v>
      </c>
      <c r="O107" s="14">
        <v>0.60069444444444442</v>
      </c>
      <c r="P107" s="18"/>
    </row>
    <row r="108" spans="1:16" ht="17" customHeight="1" thickBot="1" x14ac:dyDescent="0.25">
      <c r="A108" s="35" t="s">
        <v>113</v>
      </c>
      <c r="B108" s="36">
        <v>2956</v>
      </c>
      <c r="C108" s="47">
        <v>-0.03</v>
      </c>
      <c r="D108" s="48">
        <v>0.11</v>
      </c>
      <c r="E108" s="53">
        <v>2.4300000000000002</v>
      </c>
      <c r="F108" s="49">
        <v>-0.97</v>
      </c>
      <c r="G108" s="50">
        <v>18.829999999999998</v>
      </c>
      <c r="H108" s="68">
        <v>0</v>
      </c>
      <c r="I108" s="78">
        <v>-1.1399999999999999</v>
      </c>
      <c r="J108" s="79"/>
      <c r="K108" s="8">
        <v>2.4500000000000002</v>
      </c>
      <c r="L108" s="9">
        <v>-0.72</v>
      </c>
      <c r="M108" s="10">
        <v>0</v>
      </c>
      <c r="N108" s="10">
        <v>13.44</v>
      </c>
      <c r="O108" s="14">
        <v>0.60069444444444442</v>
      </c>
      <c r="P108" s="18"/>
    </row>
    <row r="109" spans="1:16" ht="17" thickBot="1" x14ac:dyDescent="0.25">
      <c r="A109" s="35" t="s">
        <v>114</v>
      </c>
      <c r="B109" s="36">
        <v>63.9</v>
      </c>
      <c r="C109" s="47">
        <v>-1.08</v>
      </c>
      <c r="D109" s="48">
        <v>0.18</v>
      </c>
      <c r="E109" s="49">
        <v>-0.93</v>
      </c>
      <c r="F109" s="49">
        <v>-4.34</v>
      </c>
      <c r="G109" s="55">
        <v>-5.33</v>
      </c>
      <c r="H109" s="51">
        <v>485011</v>
      </c>
      <c r="I109" s="78">
        <v>-0.03</v>
      </c>
      <c r="J109" s="79"/>
      <c r="K109" s="8">
        <v>0.11</v>
      </c>
      <c r="L109" s="10">
        <v>2.4300000000000002</v>
      </c>
      <c r="M109" s="9">
        <v>-0.97</v>
      </c>
      <c r="N109" s="10">
        <v>18.829999999999998</v>
      </c>
      <c r="O109" s="14">
        <v>0.60138888888888886</v>
      </c>
      <c r="P109" s="18"/>
    </row>
    <row r="110" spans="1:16" ht="17" customHeight="1" thickBot="1" x14ac:dyDescent="0.25">
      <c r="A110" s="35" t="s">
        <v>115</v>
      </c>
      <c r="B110" s="36">
        <v>98.3</v>
      </c>
      <c r="C110" s="54">
        <v>0</v>
      </c>
      <c r="D110" s="48">
        <v>0</v>
      </c>
      <c r="E110" s="53">
        <v>0.92</v>
      </c>
      <c r="F110" s="53">
        <v>7.08</v>
      </c>
      <c r="G110" s="50">
        <v>35.590000000000003</v>
      </c>
      <c r="H110" s="68">
        <v>0</v>
      </c>
      <c r="I110" s="78">
        <v>-1.08</v>
      </c>
      <c r="J110" s="79"/>
      <c r="K110" s="8">
        <v>0.18</v>
      </c>
      <c r="L110" s="9">
        <v>-0.93</v>
      </c>
      <c r="M110" s="9">
        <v>-4.34</v>
      </c>
      <c r="N110" s="9">
        <v>-5.33</v>
      </c>
      <c r="O110" s="14">
        <v>0.60138888888888886</v>
      </c>
      <c r="P110" s="18"/>
    </row>
    <row r="111" spans="1:16" ht="17" thickBot="1" x14ac:dyDescent="0.25">
      <c r="A111" s="35" t="s">
        <v>116</v>
      </c>
      <c r="B111" s="36">
        <v>48.5</v>
      </c>
      <c r="C111" s="54">
        <v>20.65</v>
      </c>
      <c r="D111" s="48">
        <v>0.23</v>
      </c>
      <c r="E111" s="53">
        <v>20.65</v>
      </c>
      <c r="F111" s="53">
        <v>20.65</v>
      </c>
      <c r="G111" s="55">
        <v>-26.52</v>
      </c>
      <c r="H111" s="68">
        <v>0</v>
      </c>
      <c r="I111" s="69"/>
      <c r="J111" s="70"/>
      <c r="K111" s="8">
        <v>0</v>
      </c>
      <c r="L111" s="10">
        <v>0.92</v>
      </c>
      <c r="M111" s="10">
        <v>7.08</v>
      </c>
      <c r="N111" s="10">
        <v>35.590000000000003</v>
      </c>
      <c r="O111" s="14">
        <v>0.60138888888888886</v>
      </c>
      <c r="P111" s="18"/>
    </row>
    <row r="112" spans="1:16" ht="17" thickBot="1" x14ac:dyDescent="0.25">
      <c r="A112" s="35" t="s">
        <v>117</v>
      </c>
      <c r="B112" s="36">
        <v>30.9</v>
      </c>
      <c r="C112" s="54">
        <v>1.64</v>
      </c>
      <c r="D112" s="48">
        <v>0.75</v>
      </c>
      <c r="E112" s="53">
        <v>1.31</v>
      </c>
      <c r="F112" s="53">
        <v>0.98</v>
      </c>
      <c r="G112" s="55">
        <v>-33.97</v>
      </c>
      <c r="H112" s="51">
        <v>496018</v>
      </c>
      <c r="I112" s="69">
        <v>20.65</v>
      </c>
      <c r="J112" s="70"/>
      <c r="K112" s="8">
        <v>0.23</v>
      </c>
      <c r="L112" s="10">
        <v>20.65</v>
      </c>
      <c r="M112" s="10">
        <v>20.65</v>
      </c>
      <c r="N112" s="9">
        <v>-26.52</v>
      </c>
      <c r="O112" s="14">
        <v>0.60138888888888886</v>
      </c>
      <c r="P112" s="18"/>
    </row>
    <row r="113" spans="1:16" ht="17" thickBot="1" x14ac:dyDescent="0.25">
      <c r="A113" s="35" t="s">
        <v>118</v>
      </c>
      <c r="B113" s="36">
        <v>5295</v>
      </c>
      <c r="C113" s="54">
        <v>1.96</v>
      </c>
      <c r="D113" s="48">
        <v>3.37</v>
      </c>
      <c r="E113" s="53">
        <v>4.75</v>
      </c>
      <c r="F113" s="53">
        <v>4.8099999999999996</v>
      </c>
      <c r="G113" s="50">
        <v>35.6</v>
      </c>
      <c r="H113" s="68">
        <v>0</v>
      </c>
      <c r="I113" s="69">
        <v>1.64</v>
      </c>
      <c r="J113" s="70"/>
      <c r="K113" s="8">
        <v>0.75</v>
      </c>
      <c r="L113" s="10">
        <v>1.31</v>
      </c>
      <c r="M113" s="10">
        <v>0.98</v>
      </c>
      <c r="N113" s="9">
        <v>-33.97</v>
      </c>
      <c r="O113" s="14">
        <v>0.60138888888888886</v>
      </c>
      <c r="P113" s="18"/>
    </row>
    <row r="114" spans="1:16" ht="17" thickBot="1" x14ac:dyDescent="0.25">
      <c r="A114" s="35" t="s">
        <v>119</v>
      </c>
      <c r="B114" s="36">
        <v>1</v>
      </c>
      <c r="C114" s="54">
        <v>0</v>
      </c>
      <c r="D114" s="48">
        <v>0</v>
      </c>
      <c r="E114" s="53">
        <v>0</v>
      </c>
      <c r="F114" s="53">
        <v>0</v>
      </c>
      <c r="G114" s="50">
        <v>0</v>
      </c>
      <c r="H114" s="68">
        <v>0</v>
      </c>
      <c r="I114" s="69">
        <v>1.96</v>
      </c>
      <c r="J114" s="70"/>
      <c r="K114" s="8">
        <v>3.37</v>
      </c>
      <c r="L114" s="10">
        <v>4.75</v>
      </c>
      <c r="M114" s="10">
        <v>4.8099999999999996</v>
      </c>
      <c r="N114" s="10">
        <v>35.6</v>
      </c>
      <c r="O114" s="14">
        <v>0.60069444444444442</v>
      </c>
      <c r="P114" s="18"/>
    </row>
    <row r="115" spans="1:16" ht="17" thickBot="1" x14ac:dyDescent="0.25">
      <c r="A115" s="35" t="s">
        <v>120</v>
      </c>
      <c r="B115" s="36">
        <v>11000</v>
      </c>
      <c r="C115" s="54">
        <v>0.64</v>
      </c>
      <c r="D115" s="48">
        <v>7.0000000000000007E-2</v>
      </c>
      <c r="E115" s="53">
        <v>0.82</v>
      </c>
      <c r="F115" s="53">
        <v>1.38</v>
      </c>
      <c r="G115" s="50">
        <v>35.56</v>
      </c>
      <c r="H115" s="68">
        <v>0</v>
      </c>
      <c r="I115" s="69"/>
      <c r="J115" s="70"/>
      <c r="K115" s="8">
        <v>0</v>
      </c>
      <c r="L115" s="10">
        <v>0</v>
      </c>
      <c r="M115" s="10">
        <v>0</v>
      </c>
      <c r="N115" s="10">
        <v>0</v>
      </c>
      <c r="O115" s="14">
        <v>0.3263888888888889</v>
      </c>
      <c r="P115" s="18"/>
    </row>
    <row r="116" spans="1:16" ht="17" customHeight="1" thickBot="1" x14ac:dyDescent="0.25">
      <c r="A116" s="35" t="s">
        <v>121</v>
      </c>
      <c r="B116" s="36">
        <v>2002</v>
      </c>
      <c r="C116" s="54">
        <v>1.47</v>
      </c>
      <c r="D116" s="48">
        <v>0.05</v>
      </c>
      <c r="E116" s="49">
        <v>-0.25</v>
      </c>
      <c r="F116" s="53">
        <v>0.1</v>
      </c>
      <c r="G116" s="50">
        <v>42.41</v>
      </c>
      <c r="H116" s="68">
        <v>0</v>
      </c>
      <c r="I116" s="69">
        <v>0.64</v>
      </c>
      <c r="J116" s="70"/>
      <c r="K116" s="8">
        <v>7.0000000000000007E-2</v>
      </c>
      <c r="L116" s="10">
        <v>0.82</v>
      </c>
      <c r="M116" s="10">
        <v>1.38</v>
      </c>
      <c r="N116" s="10">
        <v>35.56</v>
      </c>
      <c r="O116" s="14">
        <v>0.60069444444444442</v>
      </c>
      <c r="P116" s="18"/>
    </row>
    <row r="117" spans="1:16" ht="17" thickBot="1" x14ac:dyDescent="0.25">
      <c r="A117" s="35" t="s">
        <v>122</v>
      </c>
      <c r="B117" s="36">
        <v>628.79999999999995</v>
      </c>
      <c r="C117" s="47">
        <v>-0.91</v>
      </c>
      <c r="D117" s="48">
        <v>0.01</v>
      </c>
      <c r="E117" s="49">
        <v>-2.5299999999999998</v>
      </c>
      <c r="F117" s="49">
        <v>-6.84</v>
      </c>
      <c r="G117" s="50">
        <v>2.14</v>
      </c>
      <c r="H117" s="68">
        <v>0</v>
      </c>
      <c r="I117" s="69">
        <v>1.47</v>
      </c>
      <c r="J117" s="70"/>
      <c r="K117" s="8">
        <v>0.05</v>
      </c>
      <c r="L117" s="9">
        <v>-0.25</v>
      </c>
      <c r="M117" s="10">
        <v>0.1</v>
      </c>
      <c r="N117" s="10">
        <v>42.41</v>
      </c>
      <c r="O117" s="14">
        <v>0.60069444444444442</v>
      </c>
      <c r="P117" s="18"/>
    </row>
    <row r="118" spans="1:16" ht="17" thickBot="1" x14ac:dyDescent="0.25">
      <c r="A118" s="35" t="s">
        <v>123</v>
      </c>
      <c r="B118" s="36">
        <v>6012</v>
      </c>
      <c r="C118" s="54">
        <v>1.52</v>
      </c>
      <c r="D118" s="48">
        <v>7.0000000000000007E-2</v>
      </c>
      <c r="E118" s="53">
        <v>2.2400000000000002</v>
      </c>
      <c r="F118" s="49">
        <v>-0.03</v>
      </c>
      <c r="G118" s="50">
        <v>16.79</v>
      </c>
      <c r="H118" s="68">
        <v>0</v>
      </c>
      <c r="I118" s="78">
        <v>-0.91</v>
      </c>
      <c r="J118" s="79"/>
      <c r="K118" s="8">
        <v>0.01</v>
      </c>
      <c r="L118" s="9">
        <v>-2.5299999999999998</v>
      </c>
      <c r="M118" s="9">
        <v>-6.84</v>
      </c>
      <c r="N118" s="10">
        <v>2.14</v>
      </c>
      <c r="O118" s="14">
        <v>0.60069444444444442</v>
      </c>
      <c r="P118" s="18"/>
    </row>
    <row r="119" spans="1:16" ht="17" thickBot="1" x14ac:dyDescent="0.25">
      <c r="A119" s="35" t="s">
        <v>124</v>
      </c>
      <c r="B119" s="36">
        <v>1661</v>
      </c>
      <c r="C119" s="47">
        <v>-1.95</v>
      </c>
      <c r="D119" s="48">
        <v>0.01</v>
      </c>
      <c r="E119" s="53">
        <v>2.15</v>
      </c>
      <c r="F119" s="49">
        <v>-1.72</v>
      </c>
      <c r="G119" s="50">
        <v>24.13</v>
      </c>
      <c r="H119" s="68">
        <v>0</v>
      </c>
      <c r="I119" s="69">
        <v>1.52</v>
      </c>
      <c r="J119" s="70"/>
      <c r="K119" s="8">
        <v>7.0000000000000007E-2</v>
      </c>
      <c r="L119" s="10">
        <v>2.2400000000000002</v>
      </c>
      <c r="M119" s="9">
        <v>-0.03</v>
      </c>
      <c r="N119" s="10">
        <v>16.79</v>
      </c>
      <c r="O119" s="14">
        <v>0.60138888888888886</v>
      </c>
      <c r="P119" s="18"/>
    </row>
    <row r="120" spans="1:16" ht="17" thickBot="1" x14ac:dyDescent="0.25">
      <c r="A120" s="35" t="s">
        <v>125</v>
      </c>
      <c r="B120" s="36">
        <v>2718</v>
      </c>
      <c r="C120" s="54">
        <v>0.93</v>
      </c>
      <c r="D120" s="48">
        <v>0.02</v>
      </c>
      <c r="E120" s="53">
        <v>4.42</v>
      </c>
      <c r="F120" s="49">
        <v>-0.22</v>
      </c>
      <c r="G120" s="50">
        <v>11.76</v>
      </c>
      <c r="H120" s="68">
        <v>0</v>
      </c>
      <c r="I120" s="78">
        <v>-1.95</v>
      </c>
      <c r="J120" s="79"/>
      <c r="K120" s="8">
        <v>0.01</v>
      </c>
      <c r="L120" s="10">
        <v>2.15</v>
      </c>
      <c r="M120" s="9">
        <v>-1.72</v>
      </c>
      <c r="N120" s="10">
        <v>24.13</v>
      </c>
      <c r="O120" s="14">
        <v>0.60069444444444442</v>
      </c>
      <c r="P120" s="18"/>
    </row>
    <row r="121" spans="1:16" ht="17" thickBot="1" x14ac:dyDescent="0.25">
      <c r="A121" s="35" t="s">
        <v>126</v>
      </c>
      <c r="B121" s="36">
        <v>1130</v>
      </c>
      <c r="C121" s="54">
        <v>0</v>
      </c>
      <c r="D121" s="48">
        <v>0</v>
      </c>
      <c r="E121" s="53">
        <v>6.5</v>
      </c>
      <c r="F121" s="53">
        <v>6.3</v>
      </c>
      <c r="G121" s="50">
        <v>74.2</v>
      </c>
      <c r="H121" s="68">
        <v>0</v>
      </c>
      <c r="I121" s="69">
        <v>0.93</v>
      </c>
      <c r="J121" s="70"/>
      <c r="K121" s="8">
        <v>0.02</v>
      </c>
      <c r="L121" s="10">
        <v>4.42</v>
      </c>
      <c r="M121" s="9">
        <v>-0.22</v>
      </c>
      <c r="N121" s="10">
        <v>11.76</v>
      </c>
      <c r="O121" s="14">
        <v>0.60138888888888886</v>
      </c>
      <c r="P121" s="18"/>
    </row>
    <row r="122" spans="1:16" ht="17" thickBot="1" x14ac:dyDescent="0.25">
      <c r="A122" s="35" t="s">
        <v>127</v>
      </c>
      <c r="B122" s="36">
        <v>1788</v>
      </c>
      <c r="C122" s="54">
        <v>0.11</v>
      </c>
      <c r="D122" s="48">
        <v>0.02</v>
      </c>
      <c r="E122" s="53">
        <v>7.26</v>
      </c>
      <c r="F122" s="53">
        <v>13.38</v>
      </c>
      <c r="G122" s="50">
        <v>46.44</v>
      </c>
      <c r="H122" s="68">
        <v>0</v>
      </c>
      <c r="I122" s="69"/>
      <c r="J122" s="70"/>
      <c r="K122" s="8">
        <v>0</v>
      </c>
      <c r="L122" s="10">
        <v>6.5</v>
      </c>
      <c r="M122" s="10">
        <v>6.3</v>
      </c>
      <c r="N122" s="10">
        <v>74.2</v>
      </c>
      <c r="O122" s="14">
        <v>0.60138888888888886</v>
      </c>
      <c r="P122" s="18"/>
    </row>
    <row r="123" spans="1:16" ht="17" thickBot="1" x14ac:dyDescent="0.25">
      <c r="A123" s="35" t="s">
        <v>128</v>
      </c>
      <c r="B123" s="36">
        <v>3659</v>
      </c>
      <c r="C123" s="54">
        <v>0.38</v>
      </c>
      <c r="D123" s="48">
        <v>1.08</v>
      </c>
      <c r="E123" s="53">
        <v>5.54</v>
      </c>
      <c r="F123" s="53">
        <v>1.84</v>
      </c>
      <c r="G123" s="50">
        <v>20.420000000000002</v>
      </c>
      <c r="H123" s="68">
        <v>0</v>
      </c>
      <c r="I123" s="69">
        <v>0.11</v>
      </c>
      <c r="J123" s="70"/>
      <c r="K123" s="8">
        <v>0.02</v>
      </c>
      <c r="L123" s="10">
        <v>7.26</v>
      </c>
      <c r="M123" s="10">
        <v>13.38</v>
      </c>
      <c r="N123" s="10">
        <v>46.44</v>
      </c>
      <c r="O123" s="14">
        <v>0.60138888888888886</v>
      </c>
      <c r="P123" s="18"/>
    </row>
    <row r="124" spans="1:16" ht="17" thickBot="1" x14ac:dyDescent="0.25">
      <c r="A124" s="35" t="s">
        <v>129</v>
      </c>
      <c r="B124" s="36">
        <v>80.400000000000006</v>
      </c>
      <c r="C124" s="54">
        <v>0</v>
      </c>
      <c r="D124" s="48">
        <v>0</v>
      </c>
      <c r="E124" s="53">
        <v>0.63</v>
      </c>
      <c r="F124" s="53">
        <v>0.37</v>
      </c>
      <c r="G124" s="50">
        <v>40.49</v>
      </c>
      <c r="H124" s="68">
        <v>0</v>
      </c>
      <c r="I124" s="69">
        <v>0.38</v>
      </c>
      <c r="J124" s="70"/>
      <c r="K124" s="8">
        <v>1.08</v>
      </c>
      <c r="L124" s="10">
        <v>5.54</v>
      </c>
      <c r="M124" s="10">
        <v>1.84</v>
      </c>
      <c r="N124" s="10">
        <v>20.420000000000002</v>
      </c>
      <c r="O124" s="14">
        <v>0.60138888888888886</v>
      </c>
      <c r="P124" s="18"/>
    </row>
    <row r="125" spans="1:16" ht="17" thickBot="1" x14ac:dyDescent="0.25">
      <c r="A125" s="35" t="s">
        <v>130</v>
      </c>
      <c r="B125" s="36">
        <v>820</v>
      </c>
      <c r="C125" s="47">
        <v>-1.1599999999999999</v>
      </c>
      <c r="D125" s="48">
        <v>0.01</v>
      </c>
      <c r="E125" s="49">
        <v>-1.1599999999999999</v>
      </c>
      <c r="F125" s="53">
        <v>1.88</v>
      </c>
      <c r="G125" s="55">
        <v>-27.56</v>
      </c>
      <c r="H125" s="68">
        <v>0</v>
      </c>
      <c r="I125" s="69"/>
      <c r="J125" s="70"/>
      <c r="K125" s="8">
        <v>0</v>
      </c>
      <c r="L125" s="10">
        <v>0.63</v>
      </c>
      <c r="M125" s="10">
        <v>0.37</v>
      </c>
      <c r="N125" s="10">
        <v>40.49</v>
      </c>
      <c r="O125" s="14">
        <v>0.60138888888888886</v>
      </c>
      <c r="P125" s="18"/>
    </row>
    <row r="126" spans="1:16" ht="17" thickBot="1" x14ac:dyDescent="0.25">
      <c r="A126" s="35" t="s">
        <v>131</v>
      </c>
      <c r="B126" s="36">
        <v>201800</v>
      </c>
      <c r="C126" s="47">
        <v>-0.25</v>
      </c>
      <c r="D126" s="48">
        <v>0.09</v>
      </c>
      <c r="E126" s="49">
        <v>-0.1</v>
      </c>
      <c r="F126" s="49">
        <v>-0.35</v>
      </c>
      <c r="G126" s="50">
        <v>18.149999999999999</v>
      </c>
      <c r="H126" s="68">
        <v>0</v>
      </c>
      <c r="I126" s="78">
        <v>-1.1599999999999999</v>
      </c>
      <c r="J126" s="79"/>
      <c r="K126" s="8">
        <v>0.01</v>
      </c>
      <c r="L126" s="9">
        <v>-1.1599999999999999</v>
      </c>
      <c r="M126" s="10">
        <v>1.88</v>
      </c>
      <c r="N126" s="9">
        <v>-27.56</v>
      </c>
      <c r="O126" s="14">
        <v>0.60138888888888886</v>
      </c>
      <c r="P126" s="18"/>
    </row>
    <row r="127" spans="1:16" ht="17" thickBot="1" x14ac:dyDescent="0.25">
      <c r="A127" s="35" t="s">
        <v>132</v>
      </c>
      <c r="B127" s="36">
        <v>3364</v>
      </c>
      <c r="C127" s="54">
        <v>1.02</v>
      </c>
      <c r="D127" s="48">
        <v>0.12</v>
      </c>
      <c r="E127" s="53">
        <v>3.25</v>
      </c>
      <c r="F127" s="53">
        <v>8.94</v>
      </c>
      <c r="G127" s="50">
        <v>0.72</v>
      </c>
      <c r="H127" s="68">
        <v>0</v>
      </c>
      <c r="I127" s="78">
        <v>-0.25</v>
      </c>
      <c r="J127" s="79"/>
      <c r="K127" s="8">
        <v>0.09</v>
      </c>
      <c r="L127" s="9">
        <v>-0.1</v>
      </c>
      <c r="M127" s="9">
        <v>-0.35</v>
      </c>
      <c r="N127" s="10">
        <v>18.149999999999999</v>
      </c>
      <c r="O127" s="14">
        <v>0.60069444444444442</v>
      </c>
      <c r="P127" s="18"/>
    </row>
    <row r="128" spans="1:16" ht="17" customHeight="1" thickBot="1" x14ac:dyDescent="0.25">
      <c r="A128" s="35" t="s">
        <v>133</v>
      </c>
      <c r="B128" s="36">
        <v>10110</v>
      </c>
      <c r="C128" s="47">
        <v>-0.79</v>
      </c>
      <c r="D128" s="48">
        <v>0</v>
      </c>
      <c r="E128" s="49">
        <v>-0.79</v>
      </c>
      <c r="F128" s="49">
        <v>-7.59</v>
      </c>
      <c r="G128" s="50">
        <v>38.44</v>
      </c>
      <c r="H128" s="68">
        <v>0</v>
      </c>
      <c r="I128" s="69">
        <v>1.02</v>
      </c>
      <c r="J128" s="70"/>
      <c r="K128" s="8">
        <v>0.12</v>
      </c>
      <c r="L128" s="10">
        <v>3.25</v>
      </c>
      <c r="M128" s="10">
        <v>8.94</v>
      </c>
      <c r="N128" s="10">
        <v>0.72</v>
      </c>
      <c r="O128" s="14">
        <v>0.60069444444444442</v>
      </c>
      <c r="P128" s="18"/>
    </row>
    <row r="129" spans="1:16" ht="17" customHeight="1" thickBot="1" x14ac:dyDescent="0.25">
      <c r="A129" s="35" t="s">
        <v>134</v>
      </c>
      <c r="B129" s="36">
        <v>60340</v>
      </c>
      <c r="C129" s="47">
        <v>-0.57999999999999996</v>
      </c>
      <c r="D129" s="48">
        <v>4.79</v>
      </c>
      <c r="E129" s="53">
        <v>2.27</v>
      </c>
      <c r="F129" s="49">
        <v>-1.79</v>
      </c>
      <c r="G129" s="55">
        <v>-14.54</v>
      </c>
      <c r="H129" s="51">
        <v>576017</v>
      </c>
      <c r="I129" s="78">
        <v>-0.79</v>
      </c>
      <c r="J129" s="79"/>
      <c r="K129" s="8">
        <v>0</v>
      </c>
      <c r="L129" s="9">
        <v>-0.79</v>
      </c>
      <c r="M129" s="9">
        <v>-7.59</v>
      </c>
      <c r="N129" s="10">
        <v>38.44</v>
      </c>
      <c r="O129" s="14">
        <v>0.60138888888888886</v>
      </c>
      <c r="P129" s="18"/>
    </row>
    <row r="130" spans="1:16" ht="17" customHeight="1" thickBot="1" x14ac:dyDescent="0.25">
      <c r="A130" s="35" t="s">
        <v>135</v>
      </c>
      <c r="B130" s="36">
        <v>16740</v>
      </c>
      <c r="C130" s="47">
        <v>-3.24</v>
      </c>
      <c r="D130" s="48">
        <v>0.4</v>
      </c>
      <c r="E130" s="49">
        <v>-6.01</v>
      </c>
      <c r="F130" s="49">
        <v>-7.72</v>
      </c>
      <c r="G130" s="50">
        <v>54.51</v>
      </c>
      <c r="H130" s="68">
        <v>0</v>
      </c>
      <c r="I130" s="78">
        <v>-0.57999999999999996</v>
      </c>
      <c r="J130" s="79"/>
      <c r="K130" s="8">
        <v>4.79</v>
      </c>
      <c r="L130" s="10">
        <v>2.27</v>
      </c>
      <c r="M130" s="9">
        <v>-1.79</v>
      </c>
      <c r="N130" s="9">
        <v>-14.54</v>
      </c>
      <c r="O130" s="14">
        <v>0.60069444444444442</v>
      </c>
      <c r="P130" s="18"/>
    </row>
    <row r="131" spans="1:16" ht="17" customHeight="1" thickBot="1" x14ac:dyDescent="0.25">
      <c r="A131" s="35" t="s">
        <v>136</v>
      </c>
      <c r="B131" s="36">
        <v>16800</v>
      </c>
      <c r="C131" s="54">
        <v>0.48</v>
      </c>
      <c r="D131" s="48">
        <v>0.19</v>
      </c>
      <c r="E131" s="53">
        <v>0</v>
      </c>
      <c r="F131" s="53">
        <v>0.3</v>
      </c>
      <c r="G131" s="50">
        <v>10.16</v>
      </c>
      <c r="H131" s="68">
        <v>0</v>
      </c>
      <c r="I131" s="78">
        <v>-3.24</v>
      </c>
      <c r="J131" s="79"/>
      <c r="K131" s="8">
        <v>0.4</v>
      </c>
      <c r="L131" s="9">
        <v>-6.01</v>
      </c>
      <c r="M131" s="9">
        <v>-7.72</v>
      </c>
      <c r="N131" s="10">
        <v>54.51</v>
      </c>
      <c r="O131" s="14">
        <v>0.60138888888888886</v>
      </c>
      <c r="P131" s="18"/>
    </row>
    <row r="132" spans="1:16" ht="17" thickBot="1" x14ac:dyDescent="0.25">
      <c r="A132" s="35" t="s">
        <v>137</v>
      </c>
      <c r="B132" s="36">
        <v>925.3</v>
      </c>
      <c r="C132" s="54">
        <v>0</v>
      </c>
      <c r="D132" s="48">
        <v>0</v>
      </c>
      <c r="E132" s="49">
        <v>-1.1100000000000001</v>
      </c>
      <c r="F132" s="53">
        <v>0.73</v>
      </c>
      <c r="G132" s="50">
        <v>0.5</v>
      </c>
      <c r="H132" s="68">
        <v>0</v>
      </c>
      <c r="I132" s="69">
        <v>0.48</v>
      </c>
      <c r="J132" s="70"/>
      <c r="K132" s="8">
        <v>0.19</v>
      </c>
      <c r="L132" s="10">
        <v>0</v>
      </c>
      <c r="M132" s="10">
        <v>0.3</v>
      </c>
      <c r="N132" s="10">
        <v>10.16</v>
      </c>
      <c r="O132" s="14">
        <v>0.60138888888888886</v>
      </c>
      <c r="P132" s="18"/>
    </row>
    <row r="133" spans="1:16" ht="17" thickBot="1" x14ac:dyDescent="0.25">
      <c r="A133" s="35" t="s">
        <v>138</v>
      </c>
      <c r="B133" s="36">
        <v>1470</v>
      </c>
      <c r="C133" s="54">
        <v>0.14000000000000001</v>
      </c>
      <c r="D133" s="48">
        <v>1.6</v>
      </c>
      <c r="E133" s="53">
        <v>1.38</v>
      </c>
      <c r="F133" s="53">
        <v>8.49</v>
      </c>
      <c r="G133" s="50">
        <v>4.24</v>
      </c>
      <c r="H133" s="51">
        <v>585018</v>
      </c>
      <c r="I133" s="69"/>
      <c r="J133" s="70"/>
      <c r="K133" s="8">
        <v>0</v>
      </c>
      <c r="L133" s="9">
        <v>-1.1100000000000001</v>
      </c>
      <c r="M133" s="10">
        <v>0.73</v>
      </c>
      <c r="N133" s="10">
        <v>0.5</v>
      </c>
      <c r="O133" s="14">
        <v>0.60069444444444442</v>
      </c>
      <c r="P133" s="18"/>
    </row>
    <row r="134" spans="1:16" ht="17" customHeight="1" thickBot="1" x14ac:dyDescent="0.25">
      <c r="A134" s="35" t="s">
        <v>139</v>
      </c>
      <c r="B134" s="36">
        <v>125.4</v>
      </c>
      <c r="C134" s="54">
        <v>3.04</v>
      </c>
      <c r="D134" s="48">
        <v>0.08</v>
      </c>
      <c r="E134" s="53">
        <v>5.73</v>
      </c>
      <c r="F134" s="53">
        <v>9.42</v>
      </c>
      <c r="G134" s="50">
        <v>115.46</v>
      </c>
      <c r="H134" s="68">
        <v>0</v>
      </c>
      <c r="I134" s="69">
        <v>0.14000000000000001</v>
      </c>
      <c r="J134" s="70"/>
      <c r="K134" s="8">
        <v>1.6</v>
      </c>
      <c r="L134" s="10">
        <v>1.38</v>
      </c>
      <c r="M134" s="10">
        <v>8.49</v>
      </c>
      <c r="N134" s="10">
        <v>4.24</v>
      </c>
      <c r="O134" s="14">
        <v>0.60069444444444442</v>
      </c>
      <c r="P134" s="18"/>
    </row>
    <row r="135" spans="1:16" ht="17" customHeight="1" thickBot="1" x14ac:dyDescent="0.25">
      <c r="A135" s="35" t="s">
        <v>140</v>
      </c>
      <c r="B135" s="36">
        <v>2042</v>
      </c>
      <c r="C135" s="54">
        <v>0</v>
      </c>
      <c r="D135" s="48">
        <v>0</v>
      </c>
      <c r="E135" s="53">
        <v>0</v>
      </c>
      <c r="F135" s="49">
        <v>-4.9800000000000004</v>
      </c>
      <c r="G135" s="50">
        <v>5.8</v>
      </c>
      <c r="H135" s="68">
        <v>0</v>
      </c>
      <c r="I135" s="69">
        <v>3.04</v>
      </c>
      <c r="J135" s="70"/>
      <c r="K135" s="8">
        <v>0.08</v>
      </c>
      <c r="L135" s="10">
        <v>5.73</v>
      </c>
      <c r="M135" s="10">
        <v>9.42</v>
      </c>
      <c r="N135" s="10">
        <v>115.46</v>
      </c>
      <c r="O135" s="14">
        <v>0.60069444444444442</v>
      </c>
      <c r="P135" s="18"/>
    </row>
    <row r="136" spans="1:16" ht="17" customHeight="1" thickBot="1" x14ac:dyDescent="0.25">
      <c r="A136" s="35" t="s">
        <v>141</v>
      </c>
      <c r="B136" s="36">
        <v>4935</v>
      </c>
      <c r="C136" s="54">
        <v>0.33</v>
      </c>
      <c r="D136" s="48">
        <v>3.07</v>
      </c>
      <c r="E136" s="53">
        <v>1.1299999999999999</v>
      </c>
      <c r="F136" s="53">
        <v>3.03</v>
      </c>
      <c r="G136" s="50">
        <v>7.42</v>
      </c>
      <c r="H136" s="68">
        <v>0</v>
      </c>
      <c r="I136" s="69"/>
      <c r="J136" s="70"/>
      <c r="K136" s="8">
        <v>0</v>
      </c>
      <c r="L136" s="10">
        <v>0</v>
      </c>
      <c r="M136" s="9">
        <v>-4.9800000000000004</v>
      </c>
      <c r="N136" s="10">
        <v>5.8</v>
      </c>
      <c r="O136" s="14">
        <v>0.60069444444444442</v>
      </c>
      <c r="P136" s="18"/>
    </row>
    <row r="137" spans="1:16" ht="17" thickBot="1" x14ac:dyDescent="0.25">
      <c r="A137" s="35" t="s">
        <v>142</v>
      </c>
      <c r="B137" s="36">
        <v>61.4</v>
      </c>
      <c r="C137" s="54">
        <v>0.16</v>
      </c>
      <c r="D137" s="48">
        <v>0.1</v>
      </c>
      <c r="E137" s="49">
        <v>-3.31</v>
      </c>
      <c r="F137" s="49">
        <v>-3.31</v>
      </c>
      <c r="G137" s="50">
        <v>23.79</v>
      </c>
      <c r="H137" s="68">
        <v>0</v>
      </c>
      <c r="I137" s="69">
        <v>0.33</v>
      </c>
      <c r="J137" s="70"/>
      <c r="K137" s="8">
        <v>3.07</v>
      </c>
      <c r="L137" s="10">
        <v>1.1299999999999999</v>
      </c>
      <c r="M137" s="10">
        <v>3.03</v>
      </c>
      <c r="N137" s="10">
        <v>7.42</v>
      </c>
      <c r="O137" s="14">
        <v>0.60069444444444442</v>
      </c>
      <c r="P137" s="18"/>
    </row>
    <row r="138" spans="1:16" ht="17" customHeight="1" thickBot="1" x14ac:dyDescent="0.25">
      <c r="A138" s="35" t="s">
        <v>143</v>
      </c>
      <c r="B138" s="36">
        <v>873500</v>
      </c>
      <c r="C138" s="54">
        <v>0.34</v>
      </c>
      <c r="D138" s="48">
        <v>0.1</v>
      </c>
      <c r="E138" s="53">
        <v>1.08</v>
      </c>
      <c r="F138" s="53">
        <v>3.78</v>
      </c>
      <c r="G138" s="50">
        <v>9.4700000000000006</v>
      </c>
      <c r="H138" s="68">
        <v>0</v>
      </c>
      <c r="I138" s="69">
        <v>0.16</v>
      </c>
      <c r="J138" s="70"/>
      <c r="K138" s="8">
        <v>0.1</v>
      </c>
      <c r="L138" s="9">
        <v>-3.31</v>
      </c>
      <c r="M138" s="9">
        <v>-3.31</v>
      </c>
      <c r="N138" s="10">
        <v>23.79</v>
      </c>
      <c r="O138" s="14">
        <v>0.60138888888888886</v>
      </c>
      <c r="P138" s="18"/>
    </row>
    <row r="139" spans="1:16" ht="17" thickBot="1" x14ac:dyDescent="0.25">
      <c r="A139" s="35" t="s">
        <v>144</v>
      </c>
      <c r="B139" s="36">
        <v>1499</v>
      </c>
      <c r="C139" s="54">
        <v>0.67</v>
      </c>
      <c r="D139" s="48">
        <v>26.83</v>
      </c>
      <c r="E139" s="53">
        <v>3.24</v>
      </c>
      <c r="F139" s="53">
        <v>5.19</v>
      </c>
      <c r="G139" s="50">
        <v>11.04</v>
      </c>
      <c r="H139" s="68">
        <v>0</v>
      </c>
      <c r="I139" s="69">
        <v>0.34</v>
      </c>
      <c r="J139" s="70"/>
      <c r="K139" s="8">
        <v>0.1</v>
      </c>
      <c r="L139" s="10">
        <v>1.08</v>
      </c>
      <c r="M139" s="10">
        <v>3.78</v>
      </c>
      <c r="N139" s="10">
        <v>9.4700000000000006</v>
      </c>
      <c r="O139" s="14">
        <v>0.60069444444444442</v>
      </c>
      <c r="P139" s="18"/>
    </row>
    <row r="140" spans="1:16" ht="17" thickBot="1" x14ac:dyDescent="0.25">
      <c r="A140" s="35" t="s">
        <v>145</v>
      </c>
      <c r="B140" s="36">
        <v>115.9</v>
      </c>
      <c r="C140" s="47">
        <v>-0.17</v>
      </c>
      <c r="D140" s="48">
        <v>0.12</v>
      </c>
      <c r="E140" s="49">
        <v>-0.86</v>
      </c>
      <c r="F140" s="49">
        <v>-4.29</v>
      </c>
      <c r="G140" s="55">
        <v>-36.42</v>
      </c>
      <c r="H140" s="51">
        <v>611012</v>
      </c>
      <c r="I140" s="69">
        <v>0.67</v>
      </c>
      <c r="J140" s="70"/>
      <c r="K140" s="8">
        <v>26.83</v>
      </c>
      <c r="L140" s="10">
        <v>3.24</v>
      </c>
      <c r="M140" s="10">
        <v>5.19</v>
      </c>
      <c r="N140" s="10">
        <v>11.04</v>
      </c>
      <c r="O140" s="14">
        <v>0.60069444444444442</v>
      </c>
      <c r="P140" s="18"/>
    </row>
    <row r="141" spans="1:16" ht="17" thickBot="1" x14ac:dyDescent="0.25">
      <c r="A141" s="35" t="s">
        <v>146</v>
      </c>
      <c r="B141" s="36">
        <v>2227</v>
      </c>
      <c r="C141" s="54">
        <v>0.32</v>
      </c>
      <c r="D141" s="48">
        <v>0.14000000000000001</v>
      </c>
      <c r="E141" s="53">
        <v>1.6</v>
      </c>
      <c r="F141" s="53">
        <v>6.5</v>
      </c>
      <c r="G141" s="50">
        <v>49.48</v>
      </c>
      <c r="H141" s="68">
        <v>0</v>
      </c>
      <c r="I141" s="78">
        <v>-0.17</v>
      </c>
      <c r="J141" s="79"/>
      <c r="K141" s="8">
        <v>0.12</v>
      </c>
      <c r="L141" s="9">
        <v>-0.86</v>
      </c>
      <c r="M141" s="9">
        <v>-4.29</v>
      </c>
      <c r="N141" s="9">
        <v>-36.42</v>
      </c>
      <c r="O141" s="14">
        <v>0.60138888888888886</v>
      </c>
      <c r="P141" s="18"/>
    </row>
    <row r="142" spans="1:16" ht="17" customHeight="1" thickBot="1" x14ac:dyDescent="0.25">
      <c r="A142" s="35" t="s">
        <v>147</v>
      </c>
      <c r="B142" s="36">
        <v>36460</v>
      </c>
      <c r="C142" s="54">
        <v>0.25</v>
      </c>
      <c r="D142" s="48">
        <v>0.13</v>
      </c>
      <c r="E142" s="49">
        <v>-0.38</v>
      </c>
      <c r="F142" s="49">
        <v>-0.68</v>
      </c>
      <c r="G142" s="50">
        <v>31.83</v>
      </c>
      <c r="H142" s="68">
        <v>0</v>
      </c>
      <c r="I142" s="69">
        <v>0.32</v>
      </c>
      <c r="J142" s="70"/>
      <c r="K142" s="8">
        <v>0.14000000000000001</v>
      </c>
      <c r="L142" s="10">
        <v>1.6</v>
      </c>
      <c r="M142" s="10">
        <v>6.5</v>
      </c>
      <c r="N142" s="10">
        <v>49.48</v>
      </c>
      <c r="O142" s="14">
        <v>0.60138888888888886</v>
      </c>
      <c r="P142" s="18"/>
    </row>
    <row r="143" spans="1:16" ht="17" thickBot="1" x14ac:dyDescent="0.25">
      <c r="A143" s="35" t="s">
        <v>148</v>
      </c>
      <c r="B143" s="36">
        <v>8906</v>
      </c>
      <c r="C143" s="47">
        <v>-1.21</v>
      </c>
      <c r="D143" s="48">
        <v>0.09</v>
      </c>
      <c r="E143" s="49">
        <v>-0.74</v>
      </c>
      <c r="F143" s="53">
        <v>0.99</v>
      </c>
      <c r="G143" s="50">
        <v>46.23</v>
      </c>
      <c r="H143" s="68">
        <v>0</v>
      </c>
      <c r="I143" s="69">
        <v>0.25</v>
      </c>
      <c r="J143" s="70"/>
      <c r="K143" s="8">
        <v>0.13</v>
      </c>
      <c r="L143" s="9">
        <v>-0.38</v>
      </c>
      <c r="M143" s="9">
        <v>-0.68</v>
      </c>
      <c r="N143" s="10">
        <v>31.83</v>
      </c>
      <c r="O143" s="14">
        <v>0.60069444444444442</v>
      </c>
      <c r="P143" s="18"/>
    </row>
    <row r="144" spans="1:16" ht="17" thickBot="1" x14ac:dyDescent="0.25">
      <c r="A144" s="35" t="s">
        <v>149</v>
      </c>
      <c r="B144" s="36">
        <v>6210</v>
      </c>
      <c r="C144" s="54">
        <v>0.71</v>
      </c>
      <c r="D144" s="48">
        <v>0.25</v>
      </c>
      <c r="E144" s="53">
        <v>1.8</v>
      </c>
      <c r="F144" s="53">
        <v>11.11</v>
      </c>
      <c r="G144" s="50">
        <v>56.03</v>
      </c>
      <c r="H144" s="68">
        <v>0</v>
      </c>
      <c r="I144" s="78">
        <v>-1.21</v>
      </c>
      <c r="J144" s="79"/>
      <c r="K144" s="8">
        <v>0.09</v>
      </c>
      <c r="L144" s="9">
        <v>-0.74</v>
      </c>
      <c r="M144" s="10">
        <v>0.99</v>
      </c>
      <c r="N144" s="10">
        <v>46.23</v>
      </c>
      <c r="O144" s="14">
        <v>0.60069444444444442</v>
      </c>
      <c r="P144" s="18"/>
    </row>
    <row r="145" spans="1:16" ht="17" thickBot="1" x14ac:dyDescent="0.25">
      <c r="A145" s="35" t="s">
        <v>150</v>
      </c>
      <c r="B145" s="36">
        <v>10780</v>
      </c>
      <c r="C145" s="54">
        <v>0.37</v>
      </c>
      <c r="D145" s="48">
        <v>0.56000000000000005</v>
      </c>
      <c r="E145" s="53">
        <v>1.03</v>
      </c>
      <c r="F145" s="53">
        <v>1.79</v>
      </c>
      <c r="G145" s="50">
        <v>1.74</v>
      </c>
      <c r="H145" s="68">
        <v>0</v>
      </c>
      <c r="I145" s="69">
        <v>0.71</v>
      </c>
      <c r="J145" s="70"/>
      <c r="K145" s="8">
        <v>0.25</v>
      </c>
      <c r="L145" s="10">
        <v>1.8</v>
      </c>
      <c r="M145" s="10">
        <v>11.11</v>
      </c>
      <c r="N145" s="10">
        <v>56.03</v>
      </c>
      <c r="O145" s="14">
        <v>0.60138888888888886</v>
      </c>
      <c r="P145" s="18"/>
    </row>
    <row r="146" spans="1:16" ht="17" thickBot="1" x14ac:dyDescent="0.25">
      <c r="A146" s="35" t="s">
        <v>151</v>
      </c>
      <c r="B146" s="36">
        <v>16610</v>
      </c>
      <c r="C146" s="54">
        <v>0.36</v>
      </c>
      <c r="D146" s="48">
        <v>93.7</v>
      </c>
      <c r="E146" s="49">
        <v>-2.0099999999999998</v>
      </c>
      <c r="F146" s="49">
        <v>-7.67</v>
      </c>
      <c r="G146" s="55">
        <v>-33.5</v>
      </c>
      <c r="H146" s="51">
        <v>629014</v>
      </c>
      <c r="I146" s="69">
        <v>0.37</v>
      </c>
      <c r="J146" s="70"/>
      <c r="K146" s="8">
        <v>0.56000000000000005</v>
      </c>
      <c r="L146" s="10">
        <v>1.03</v>
      </c>
      <c r="M146" s="10">
        <v>1.79</v>
      </c>
      <c r="N146" s="10">
        <v>1.74</v>
      </c>
      <c r="O146" s="14">
        <v>0.60138888888888886</v>
      </c>
      <c r="P146" s="18"/>
    </row>
    <row r="147" spans="1:16" ht="17" thickBot="1" x14ac:dyDescent="0.25">
      <c r="A147" s="35" t="s">
        <v>152</v>
      </c>
      <c r="B147" s="36">
        <v>14010</v>
      </c>
      <c r="C147" s="47">
        <v>-0.56999999999999995</v>
      </c>
      <c r="D147" s="48">
        <v>0.56999999999999995</v>
      </c>
      <c r="E147" s="53">
        <v>0.94</v>
      </c>
      <c r="F147" s="53">
        <v>0.56999999999999995</v>
      </c>
      <c r="G147" s="50">
        <v>21.83</v>
      </c>
      <c r="H147" s="68">
        <v>0</v>
      </c>
      <c r="I147" s="69">
        <v>0.36</v>
      </c>
      <c r="J147" s="70"/>
      <c r="K147" s="8">
        <v>93.7</v>
      </c>
      <c r="L147" s="9">
        <v>-2.0099999999999998</v>
      </c>
      <c r="M147" s="9">
        <v>-7.67</v>
      </c>
      <c r="N147" s="9">
        <v>-33.5</v>
      </c>
      <c r="O147" s="14">
        <v>0.60069444444444442</v>
      </c>
      <c r="P147" s="18"/>
    </row>
    <row r="148" spans="1:16" ht="17" thickBot="1" x14ac:dyDescent="0.25">
      <c r="A148" s="35" t="s">
        <v>153</v>
      </c>
      <c r="B148" s="36">
        <v>768.9</v>
      </c>
      <c r="C148" s="54">
        <v>0</v>
      </c>
      <c r="D148" s="48">
        <v>0</v>
      </c>
      <c r="E148" s="49">
        <v>-0.09</v>
      </c>
      <c r="F148" s="53">
        <v>0.42</v>
      </c>
      <c r="G148" s="50">
        <v>80.150000000000006</v>
      </c>
      <c r="H148" s="68">
        <v>0</v>
      </c>
      <c r="I148" s="78">
        <v>-0.56999999999999995</v>
      </c>
      <c r="J148" s="79"/>
      <c r="K148" s="8">
        <v>0.56999999999999995</v>
      </c>
      <c r="L148" s="10">
        <v>0.94</v>
      </c>
      <c r="M148" s="10">
        <v>0.56999999999999995</v>
      </c>
      <c r="N148" s="10">
        <v>21.83</v>
      </c>
      <c r="O148" s="14">
        <v>0.60138888888888886</v>
      </c>
      <c r="P148" s="18"/>
    </row>
    <row r="149" spans="1:16" ht="17" thickBot="1" x14ac:dyDescent="0.25">
      <c r="A149" s="35" t="s">
        <v>154</v>
      </c>
      <c r="B149" s="36">
        <v>1141</v>
      </c>
      <c r="C149" s="54">
        <v>0.8</v>
      </c>
      <c r="D149" s="48">
        <v>0.71</v>
      </c>
      <c r="E149" s="49">
        <v>-1.64</v>
      </c>
      <c r="F149" s="49">
        <v>-1.04</v>
      </c>
      <c r="G149" s="50">
        <v>75.84</v>
      </c>
      <c r="H149" s="68">
        <v>0</v>
      </c>
      <c r="I149" s="69"/>
      <c r="J149" s="70"/>
      <c r="K149" s="8">
        <v>0</v>
      </c>
      <c r="L149" s="9">
        <v>-0.09</v>
      </c>
      <c r="M149" s="10">
        <v>0.42</v>
      </c>
      <c r="N149" s="10">
        <v>80.150000000000006</v>
      </c>
      <c r="O149" s="14">
        <v>0.60069444444444442</v>
      </c>
      <c r="P149" s="18"/>
    </row>
    <row r="150" spans="1:16" ht="17" customHeight="1" thickBot="1" x14ac:dyDescent="0.25">
      <c r="A150" s="35" t="s">
        <v>155</v>
      </c>
      <c r="B150" s="36">
        <v>870.1</v>
      </c>
      <c r="C150" s="47">
        <v>-2.9</v>
      </c>
      <c r="D150" s="48">
        <v>0.06</v>
      </c>
      <c r="E150" s="53">
        <v>3.58</v>
      </c>
      <c r="F150" s="53">
        <v>1.77</v>
      </c>
      <c r="G150" s="50">
        <v>47.51</v>
      </c>
      <c r="H150" s="68">
        <v>0</v>
      </c>
      <c r="I150" s="69">
        <v>0.8</v>
      </c>
      <c r="J150" s="70"/>
      <c r="K150" s="8">
        <v>0.71</v>
      </c>
      <c r="L150" s="9">
        <v>-1.64</v>
      </c>
      <c r="M150" s="9">
        <v>-1.04</v>
      </c>
      <c r="N150" s="10">
        <v>75.84</v>
      </c>
      <c r="O150" s="14">
        <v>0.60069444444444442</v>
      </c>
      <c r="P150" s="18"/>
    </row>
    <row r="151" spans="1:16" ht="17" thickBot="1" x14ac:dyDescent="0.25">
      <c r="A151" s="35" t="s">
        <v>156</v>
      </c>
      <c r="B151" s="36">
        <v>2151</v>
      </c>
      <c r="C151" s="47">
        <v>-0.37</v>
      </c>
      <c r="D151" s="48">
        <v>0.1</v>
      </c>
      <c r="E151" s="49">
        <v>-0.37</v>
      </c>
      <c r="F151" s="53">
        <v>1.75</v>
      </c>
      <c r="G151" s="50">
        <v>12.44</v>
      </c>
      <c r="H151" s="68">
        <v>0</v>
      </c>
      <c r="I151" s="78">
        <v>-2.9</v>
      </c>
      <c r="J151" s="79"/>
      <c r="K151" s="8">
        <v>0.06</v>
      </c>
      <c r="L151" s="10">
        <v>3.58</v>
      </c>
      <c r="M151" s="10">
        <v>1.77</v>
      </c>
      <c r="N151" s="10">
        <v>47.51</v>
      </c>
      <c r="O151" s="14">
        <v>0.60138888888888886</v>
      </c>
      <c r="P151" s="18"/>
    </row>
    <row r="152" spans="1:16" ht="17" thickBot="1" x14ac:dyDescent="0.25">
      <c r="A152" s="35" t="s">
        <v>157</v>
      </c>
      <c r="B152" s="36">
        <v>3103</v>
      </c>
      <c r="C152" s="54">
        <v>0.23</v>
      </c>
      <c r="D152" s="48">
        <v>0.09</v>
      </c>
      <c r="E152" s="53">
        <v>1.27</v>
      </c>
      <c r="F152" s="53">
        <v>1.27</v>
      </c>
      <c r="G152" s="50">
        <v>39.17</v>
      </c>
      <c r="H152" s="68">
        <v>0</v>
      </c>
      <c r="I152" s="78">
        <v>-0.37</v>
      </c>
      <c r="J152" s="79"/>
      <c r="K152" s="8">
        <v>0.1</v>
      </c>
      <c r="L152" s="9">
        <v>-0.37</v>
      </c>
      <c r="M152" s="10">
        <v>1.75</v>
      </c>
      <c r="N152" s="10">
        <v>12.44</v>
      </c>
      <c r="O152" s="14">
        <v>0.60138888888888886</v>
      </c>
      <c r="P152" s="18"/>
    </row>
    <row r="153" spans="1:16" ht="17" thickBot="1" x14ac:dyDescent="0.25">
      <c r="A153" s="35" t="s">
        <v>158</v>
      </c>
      <c r="B153" s="36">
        <v>2016</v>
      </c>
      <c r="C153" s="54">
        <v>0.25</v>
      </c>
      <c r="D153" s="48">
        <v>0.01</v>
      </c>
      <c r="E153" s="53">
        <v>0.4</v>
      </c>
      <c r="F153" s="49">
        <v>-10.41</v>
      </c>
      <c r="G153" s="50">
        <v>29.64</v>
      </c>
      <c r="H153" s="68">
        <v>0</v>
      </c>
      <c r="I153" s="69">
        <v>0.23</v>
      </c>
      <c r="J153" s="70"/>
      <c r="K153" s="8">
        <v>0.09</v>
      </c>
      <c r="L153" s="10">
        <v>1.27</v>
      </c>
      <c r="M153" s="10">
        <v>1.27</v>
      </c>
      <c r="N153" s="10">
        <v>39.17</v>
      </c>
      <c r="O153" s="14">
        <v>0.60138888888888886</v>
      </c>
      <c r="P153" s="18"/>
    </row>
    <row r="154" spans="1:16" ht="17" thickBot="1" x14ac:dyDescent="0.25">
      <c r="A154" s="35" t="s">
        <v>159</v>
      </c>
      <c r="B154" s="36">
        <v>3734</v>
      </c>
      <c r="C154" s="47">
        <v>-0.93</v>
      </c>
      <c r="D154" s="48">
        <v>0</v>
      </c>
      <c r="E154" s="49">
        <v>-1.01</v>
      </c>
      <c r="F154" s="49">
        <v>-1.58</v>
      </c>
      <c r="G154" s="55">
        <v>-2.9</v>
      </c>
      <c r="H154" s="68">
        <v>0</v>
      </c>
      <c r="I154" s="69">
        <v>0.25</v>
      </c>
      <c r="J154" s="70"/>
      <c r="K154" s="8">
        <v>0.01</v>
      </c>
      <c r="L154" s="10">
        <v>0.4</v>
      </c>
      <c r="M154" s="9">
        <v>-10.41</v>
      </c>
      <c r="N154" s="10">
        <v>29.64</v>
      </c>
      <c r="O154" s="14">
        <v>0.60069444444444442</v>
      </c>
      <c r="P154" s="18"/>
    </row>
    <row r="155" spans="1:16" ht="17" thickBot="1" x14ac:dyDescent="0.25">
      <c r="A155" s="35" t="s">
        <v>160</v>
      </c>
      <c r="B155" s="36">
        <v>2235</v>
      </c>
      <c r="C155" s="54">
        <v>0.68</v>
      </c>
      <c r="D155" s="48">
        <v>42.68</v>
      </c>
      <c r="E155" s="53">
        <v>3.38</v>
      </c>
      <c r="F155" s="53">
        <v>5.13</v>
      </c>
      <c r="G155" s="50">
        <v>13.21</v>
      </c>
      <c r="H155" s="68">
        <v>0</v>
      </c>
      <c r="I155" s="78">
        <v>-0.93</v>
      </c>
      <c r="J155" s="79"/>
      <c r="K155" s="8">
        <v>0</v>
      </c>
      <c r="L155" s="9">
        <v>-1.01</v>
      </c>
      <c r="M155" s="9">
        <v>-1.58</v>
      </c>
      <c r="N155" s="9">
        <v>-2.9</v>
      </c>
      <c r="O155" s="14">
        <v>0.60069444444444442</v>
      </c>
      <c r="P155" s="18"/>
    </row>
    <row r="156" spans="1:16" ht="17" thickBot="1" x14ac:dyDescent="0.25">
      <c r="A156" s="35" t="s">
        <v>161</v>
      </c>
      <c r="B156" s="36">
        <v>57.5</v>
      </c>
      <c r="C156" s="54">
        <v>3.98</v>
      </c>
      <c r="D156" s="48">
        <v>0.06</v>
      </c>
      <c r="E156" s="53">
        <v>3.98</v>
      </c>
      <c r="F156" s="53">
        <v>12.3</v>
      </c>
      <c r="G156" s="50">
        <v>22.34</v>
      </c>
      <c r="H156" s="68">
        <v>0</v>
      </c>
      <c r="I156" s="69">
        <v>0.68</v>
      </c>
      <c r="J156" s="70"/>
      <c r="K156" s="8">
        <v>42.68</v>
      </c>
      <c r="L156" s="10">
        <v>3.38</v>
      </c>
      <c r="M156" s="10">
        <v>5.13</v>
      </c>
      <c r="N156" s="10">
        <v>13.21</v>
      </c>
      <c r="O156" s="14">
        <v>0.60069444444444442</v>
      </c>
      <c r="P156" s="18"/>
    </row>
    <row r="157" spans="1:16" ht="17" thickBot="1" x14ac:dyDescent="0.25">
      <c r="A157" s="35" t="s">
        <v>162</v>
      </c>
      <c r="B157" s="36">
        <v>347.6</v>
      </c>
      <c r="C157" s="47">
        <v>-1.28</v>
      </c>
      <c r="D157" s="48">
        <v>0.02</v>
      </c>
      <c r="E157" s="53">
        <v>1.4</v>
      </c>
      <c r="F157" s="53">
        <v>0.49</v>
      </c>
      <c r="G157" s="50">
        <v>39.04</v>
      </c>
      <c r="H157" s="68">
        <v>0</v>
      </c>
      <c r="I157" s="69">
        <v>3.98</v>
      </c>
      <c r="J157" s="70"/>
      <c r="K157" s="8">
        <v>0.06</v>
      </c>
      <c r="L157" s="10">
        <v>3.98</v>
      </c>
      <c r="M157" s="10">
        <v>12.3</v>
      </c>
      <c r="N157" s="10">
        <v>22.34</v>
      </c>
      <c r="O157" s="14">
        <v>0.60069444444444442</v>
      </c>
      <c r="P157" s="18"/>
    </row>
    <row r="158" spans="1:16" ht="17" thickBot="1" x14ac:dyDescent="0.25">
      <c r="A158" s="35" t="s">
        <v>163</v>
      </c>
      <c r="B158" s="36">
        <v>315</v>
      </c>
      <c r="C158" s="54">
        <v>0</v>
      </c>
      <c r="D158" s="48">
        <v>0</v>
      </c>
      <c r="E158" s="53">
        <v>0</v>
      </c>
      <c r="F158" s="53">
        <v>8.25</v>
      </c>
      <c r="G158" s="50">
        <v>16.239999999999998</v>
      </c>
      <c r="H158" s="68">
        <v>0</v>
      </c>
      <c r="I158" s="78">
        <v>-1.28</v>
      </c>
      <c r="J158" s="79"/>
      <c r="K158" s="8">
        <v>0.02</v>
      </c>
      <c r="L158" s="10">
        <v>1.4</v>
      </c>
      <c r="M158" s="10">
        <v>0.49</v>
      </c>
      <c r="N158" s="10">
        <v>39.04</v>
      </c>
      <c r="O158" s="14">
        <v>0.60069444444444442</v>
      </c>
      <c r="P158" s="18"/>
    </row>
    <row r="159" spans="1:16" ht="17" thickBot="1" x14ac:dyDescent="0.25">
      <c r="A159" s="35" t="s">
        <v>164</v>
      </c>
      <c r="B159" s="36">
        <v>1814</v>
      </c>
      <c r="C159" s="54">
        <v>0</v>
      </c>
      <c r="D159" s="48">
        <v>0</v>
      </c>
      <c r="E159" s="53">
        <v>4.45</v>
      </c>
      <c r="F159" s="53">
        <v>0.47</v>
      </c>
      <c r="G159" s="55">
        <v>-5.56</v>
      </c>
      <c r="H159" s="68">
        <v>0</v>
      </c>
      <c r="I159" s="69"/>
      <c r="J159" s="70"/>
      <c r="K159" s="8">
        <v>0</v>
      </c>
      <c r="L159" s="10">
        <v>0</v>
      </c>
      <c r="M159" s="10">
        <v>8.25</v>
      </c>
      <c r="N159" s="10">
        <v>16.239999999999998</v>
      </c>
      <c r="O159" s="14">
        <v>0.60138888888888886</v>
      </c>
      <c r="P159" s="18"/>
    </row>
    <row r="160" spans="1:16" ht="17" thickBot="1" x14ac:dyDescent="0.25">
      <c r="A160" s="35" t="s">
        <v>165</v>
      </c>
      <c r="B160" s="36">
        <v>714.2</v>
      </c>
      <c r="C160" s="54">
        <v>0.03</v>
      </c>
      <c r="D160" s="48">
        <v>8.31</v>
      </c>
      <c r="E160" s="53">
        <v>1.02</v>
      </c>
      <c r="F160" s="53">
        <v>3.57</v>
      </c>
      <c r="G160" s="50">
        <v>1.1599999999999999</v>
      </c>
      <c r="H160" s="68">
        <v>0</v>
      </c>
      <c r="I160" s="69"/>
      <c r="J160" s="70"/>
      <c r="K160" s="8">
        <v>0</v>
      </c>
      <c r="L160" s="10">
        <v>4.45</v>
      </c>
      <c r="M160" s="10">
        <v>0.47</v>
      </c>
      <c r="N160" s="9">
        <v>-5.56</v>
      </c>
      <c r="O160" s="14">
        <v>0.60069444444444442</v>
      </c>
      <c r="P160" s="18"/>
    </row>
    <row r="161" spans="1:16" ht="17" thickBot="1" x14ac:dyDescent="0.25">
      <c r="A161" s="35" t="s">
        <v>166</v>
      </c>
      <c r="B161" s="36">
        <v>5182</v>
      </c>
      <c r="C161" s="47">
        <v>-0.28999999999999998</v>
      </c>
      <c r="D161" s="48">
        <v>0.23</v>
      </c>
      <c r="E161" s="53">
        <v>0.23</v>
      </c>
      <c r="F161" s="53">
        <v>3.91</v>
      </c>
      <c r="G161" s="50">
        <v>85.93</v>
      </c>
      <c r="H161" s="68">
        <v>0</v>
      </c>
      <c r="I161" s="69">
        <v>0.03</v>
      </c>
      <c r="J161" s="70"/>
      <c r="K161" s="8">
        <v>8.31</v>
      </c>
      <c r="L161" s="10">
        <v>1.02</v>
      </c>
      <c r="M161" s="10">
        <v>3.57</v>
      </c>
      <c r="N161" s="10">
        <v>1.1599999999999999</v>
      </c>
      <c r="O161" s="14">
        <v>0.60069444444444442</v>
      </c>
      <c r="P161" s="18"/>
    </row>
    <row r="162" spans="1:16" ht="17" thickBot="1" x14ac:dyDescent="0.25">
      <c r="A162" s="35" t="s">
        <v>167</v>
      </c>
      <c r="B162" s="36">
        <v>4939</v>
      </c>
      <c r="C162" s="54">
        <v>0.1</v>
      </c>
      <c r="D162" s="48">
        <v>7.79</v>
      </c>
      <c r="E162" s="53">
        <v>0.28000000000000003</v>
      </c>
      <c r="F162" s="53">
        <v>3.65</v>
      </c>
      <c r="G162" s="50">
        <v>7.55</v>
      </c>
      <c r="H162" s="68">
        <v>0</v>
      </c>
      <c r="I162" s="78">
        <v>-0.28999999999999998</v>
      </c>
      <c r="J162" s="79"/>
      <c r="K162" s="8">
        <v>0.23</v>
      </c>
      <c r="L162" s="10">
        <v>0.23</v>
      </c>
      <c r="M162" s="10">
        <v>3.91</v>
      </c>
      <c r="N162" s="10">
        <v>85.93</v>
      </c>
      <c r="O162" s="14">
        <v>0.60138888888888886</v>
      </c>
      <c r="P162" s="18"/>
    </row>
    <row r="163" spans="1:16" ht="17" customHeight="1" thickBot="1" x14ac:dyDescent="0.25">
      <c r="A163" s="35" t="s">
        <v>168</v>
      </c>
      <c r="B163" s="36">
        <v>31760</v>
      </c>
      <c r="C163" s="54">
        <v>0.32</v>
      </c>
      <c r="D163" s="48">
        <v>0.2</v>
      </c>
      <c r="E163" s="53">
        <v>0.35</v>
      </c>
      <c r="F163" s="53">
        <v>0.92</v>
      </c>
      <c r="G163" s="50">
        <v>22.42</v>
      </c>
      <c r="H163" s="68">
        <v>0</v>
      </c>
      <c r="I163" s="69">
        <v>0.1</v>
      </c>
      <c r="J163" s="70"/>
      <c r="K163" s="8">
        <v>7.79</v>
      </c>
      <c r="L163" s="10">
        <v>0.28000000000000003</v>
      </c>
      <c r="M163" s="10">
        <v>3.65</v>
      </c>
      <c r="N163" s="10">
        <v>7.55</v>
      </c>
      <c r="O163" s="14">
        <v>0.60069444444444442</v>
      </c>
      <c r="P163" s="18"/>
    </row>
    <row r="164" spans="1:16" ht="17" thickBot="1" x14ac:dyDescent="0.25">
      <c r="A164" s="35" t="s">
        <v>169</v>
      </c>
      <c r="B164" s="36">
        <v>2193</v>
      </c>
      <c r="C164" s="54">
        <v>0</v>
      </c>
      <c r="D164" s="48">
        <v>0</v>
      </c>
      <c r="E164" s="53">
        <v>0</v>
      </c>
      <c r="F164" s="49">
        <v>-3.73</v>
      </c>
      <c r="G164" s="50">
        <v>0.78</v>
      </c>
      <c r="H164" s="68">
        <v>0</v>
      </c>
      <c r="I164" s="69">
        <v>0.32</v>
      </c>
      <c r="J164" s="70"/>
      <c r="K164" s="8">
        <v>0.2</v>
      </c>
      <c r="L164" s="10">
        <v>0.35</v>
      </c>
      <c r="M164" s="10">
        <v>0.92</v>
      </c>
      <c r="N164" s="10">
        <v>22.42</v>
      </c>
      <c r="O164" s="14">
        <v>0.60138888888888886</v>
      </c>
      <c r="P164" s="18"/>
    </row>
    <row r="165" spans="1:16" ht="17" thickBot="1" x14ac:dyDescent="0.25">
      <c r="A165" s="35" t="s">
        <v>170</v>
      </c>
      <c r="B165" s="36">
        <v>104200</v>
      </c>
      <c r="C165" s="54">
        <v>0.57999999999999996</v>
      </c>
      <c r="D165" s="48">
        <v>7.0000000000000007E-2</v>
      </c>
      <c r="E165" s="53">
        <v>0.97</v>
      </c>
      <c r="F165" s="53">
        <v>2.16</v>
      </c>
      <c r="G165" s="50">
        <v>18.829999999999998</v>
      </c>
      <c r="H165" s="68">
        <v>0</v>
      </c>
      <c r="I165" s="69"/>
      <c r="J165" s="70"/>
      <c r="K165" s="8">
        <v>0</v>
      </c>
      <c r="L165" s="10">
        <v>0</v>
      </c>
      <c r="M165" s="9">
        <v>-3.73</v>
      </c>
      <c r="N165" s="10">
        <v>0.78</v>
      </c>
      <c r="O165" s="14">
        <v>0.60069444444444442</v>
      </c>
      <c r="P165" s="18"/>
    </row>
    <row r="166" spans="1:16" ht="17" customHeight="1" thickBot="1" x14ac:dyDescent="0.25">
      <c r="A166" s="35" t="s">
        <v>171</v>
      </c>
      <c r="B166" s="36">
        <v>363.1</v>
      </c>
      <c r="C166" s="54">
        <v>0.19</v>
      </c>
      <c r="D166" s="48">
        <v>0.14000000000000001</v>
      </c>
      <c r="E166" s="53">
        <v>1.03</v>
      </c>
      <c r="F166" s="53">
        <v>3.27</v>
      </c>
      <c r="G166" s="50">
        <v>33.99</v>
      </c>
      <c r="H166" s="68">
        <v>0</v>
      </c>
      <c r="I166" s="69">
        <v>0.57999999999999996</v>
      </c>
      <c r="J166" s="70"/>
      <c r="K166" s="8">
        <v>7.0000000000000007E-2</v>
      </c>
      <c r="L166" s="10">
        <v>0.97</v>
      </c>
      <c r="M166" s="10">
        <v>2.16</v>
      </c>
      <c r="N166" s="10">
        <v>18.829999999999998</v>
      </c>
      <c r="O166" s="14">
        <v>0.60138888888888886</v>
      </c>
      <c r="P166" s="18"/>
    </row>
    <row r="167" spans="1:16" ht="17" thickBot="1" x14ac:dyDescent="0.25">
      <c r="A167" s="35" t="s">
        <v>172</v>
      </c>
      <c r="B167" s="36">
        <v>83</v>
      </c>
      <c r="C167" s="54">
        <v>2.34</v>
      </c>
      <c r="D167" s="48">
        <v>0.1</v>
      </c>
      <c r="E167" s="53">
        <v>2.34</v>
      </c>
      <c r="F167" s="49">
        <v>-2.12</v>
      </c>
      <c r="G167" s="50">
        <v>18.23</v>
      </c>
      <c r="H167" s="68">
        <v>0</v>
      </c>
      <c r="I167" s="69">
        <v>0.19</v>
      </c>
      <c r="J167" s="70"/>
      <c r="K167" s="8">
        <v>0.14000000000000001</v>
      </c>
      <c r="L167" s="10">
        <v>1.03</v>
      </c>
      <c r="M167" s="10">
        <v>3.27</v>
      </c>
      <c r="N167" s="10">
        <v>33.99</v>
      </c>
      <c r="O167" s="14">
        <v>0.60138888888888886</v>
      </c>
      <c r="P167" s="18"/>
    </row>
    <row r="168" spans="1:16" ht="17" customHeight="1" thickBot="1" x14ac:dyDescent="0.25">
      <c r="A168" s="35" t="s">
        <v>173</v>
      </c>
      <c r="B168" s="36">
        <v>1290</v>
      </c>
      <c r="C168" s="47">
        <v>-0.08</v>
      </c>
      <c r="D168" s="48">
        <v>0.1</v>
      </c>
      <c r="E168" s="53">
        <v>0.16</v>
      </c>
      <c r="F168" s="53">
        <v>1.49</v>
      </c>
      <c r="G168" s="50">
        <v>6.17</v>
      </c>
      <c r="H168" s="68">
        <v>0</v>
      </c>
      <c r="I168" s="69">
        <v>2.34</v>
      </c>
      <c r="J168" s="70"/>
      <c r="K168" s="8">
        <v>0.1</v>
      </c>
      <c r="L168" s="10">
        <v>2.34</v>
      </c>
      <c r="M168" s="9">
        <v>-2.12</v>
      </c>
      <c r="N168" s="10">
        <v>18.23</v>
      </c>
      <c r="O168" s="14">
        <v>0.60069444444444442</v>
      </c>
      <c r="P168" s="18"/>
    </row>
    <row r="169" spans="1:16" ht="17" thickBot="1" x14ac:dyDescent="0.25">
      <c r="A169" s="35" t="s">
        <v>174</v>
      </c>
      <c r="B169" s="36">
        <v>6935</v>
      </c>
      <c r="C169" s="47">
        <v>-0.96</v>
      </c>
      <c r="D169" s="48">
        <v>0.37</v>
      </c>
      <c r="E169" s="49">
        <v>-0.45</v>
      </c>
      <c r="F169" s="49">
        <v>-2.0299999999999998</v>
      </c>
      <c r="G169" s="50">
        <v>9.2100000000000009</v>
      </c>
      <c r="H169" s="68">
        <v>0</v>
      </c>
      <c r="I169" s="78">
        <v>-0.08</v>
      </c>
      <c r="J169" s="79"/>
      <c r="K169" s="8">
        <v>0.1</v>
      </c>
      <c r="L169" s="10">
        <v>0.16</v>
      </c>
      <c r="M169" s="10">
        <v>1.49</v>
      </c>
      <c r="N169" s="10">
        <v>6.17</v>
      </c>
      <c r="O169" s="14">
        <v>0.60138888888888886</v>
      </c>
      <c r="P169" s="18"/>
    </row>
    <row r="170" spans="1:16" ht="17" thickBot="1" x14ac:dyDescent="0.25">
      <c r="A170" s="35" t="s">
        <v>175</v>
      </c>
      <c r="B170" s="36">
        <v>758</v>
      </c>
      <c r="C170" s="47">
        <v>-2.3199999999999998</v>
      </c>
      <c r="D170" s="48">
        <v>0</v>
      </c>
      <c r="E170" s="49">
        <v>-2.3199999999999998</v>
      </c>
      <c r="F170" s="49">
        <v>-4.28</v>
      </c>
      <c r="G170" s="50">
        <v>9.9</v>
      </c>
      <c r="H170" s="68">
        <v>0</v>
      </c>
      <c r="I170" s="78">
        <v>-0.96</v>
      </c>
      <c r="J170" s="79"/>
      <c r="K170" s="8">
        <v>0.37</v>
      </c>
      <c r="L170" s="9">
        <v>-0.45</v>
      </c>
      <c r="M170" s="9">
        <v>-2.0299999999999998</v>
      </c>
      <c r="N170" s="10">
        <v>9.2100000000000009</v>
      </c>
      <c r="O170" s="14">
        <v>0.60069444444444442</v>
      </c>
      <c r="P170" s="18"/>
    </row>
    <row r="171" spans="1:16" ht="17" thickBot="1" x14ac:dyDescent="0.25">
      <c r="A171" s="35" t="s">
        <v>176</v>
      </c>
      <c r="B171" s="36">
        <v>516.5</v>
      </c>
      <c r="C171" s="54">
        <v>0</v>
      </c>
      <c r="D171" s="48">
        <v>0</v>
      </c>
      <c r="E171" s="53">
        <v>0</v>
      </c>
      <c r="F171" s="53">
        <v>0.6</v>
      </c>
      <c r="G171" s="50">
        <v>20.68</v>
      </c>
      <c r="H171" s="68">
        <v>0</v>
      </c>
      <c r="I171" s="78">
        <v>-2.3199999999999998</v>
      </c>
      <c r="J171" s="79"/>
      <c r="K171" s="8">
        <v>0</v>
      </c>
      <c r="L171" s="9">
        <v>-2.3199999999999998</v>
      </c>
      <c r="M171" s="9">
        <v>-4.28</v>
      </c>
      <c r="N171" s="10">
        <v>9.9</v>
      </c>
      <c r="O171" s="14">
        <v>0.60138888888888886</v>
      </c>
      <c r="P171" s="18"/>
    </row>
    <row r="172" spans="1:16" ht="17" thickBot="1" x14ac:dyDescent="0.25">
      <c r="A172" s="35" t="s">
        <v>177</v>
      </c>
      <c r="B172" s="36">
        <v>1248</v>
      </c>
      <c r="C172" s="54">
        <v>0.73</v>
      </c>
      <c r="D172" s="48">
        <v>0.1</v>
      </c>
      <c r="E172" s="53">
        <v>3.31</v>
      </c>
      <c r="F172" s="53">
        <v>7.87</v>
      </c>
      <c r="G172" s="50">
        <v>40.76</v>
      </c>
      <c r="H172" s="68">
        <v>0</v>
      </c>
      <c r="I172" s="69"/>
      <c r="J172" s="70"/>
      <c r="K172" s="8">
        <v>0</v>
      </c>
      <c r="L172" s="10">
        <v>0</v>
      </c>
      <c r="M172" s="10">
        <v>0.6</v>
      </c>
      <c r="N172" s="10">
        <v>20.68</v>
      </c>
      <c r="O172" s="14">
        <v>0.60069444444444442</v>
      </c>
      <c r="P172" s="18"/>
    </row>
    <row r="173" spans="1:16" ht="17" thickBot="1" x14ac:dyDescent="0.25">
      <c r="A173" s="35" t="s">
        <v>178</v>
      </c>
      <c r="B173" s="36">
        <v>15570</v>
      </c>
      <c r="C173" s="54">
        <v>0</v>
      </c>
      <c r="D173" s="48">
        <v>0</v>
      </c>
      <c r="E173" s="53">
        <v>0.13</v>
      </c>
      <c r="F173" s="49">
        <v>-0.19</v>
      </c>
      <c r="G173" s="50">
        <v>45.11</v>
      </c>
      <c r="H173" s="68">
        <v>0</v>
      </c>
      <c r="I173" s="69">
        <v>0.73</v>
      </c>
      <c r="J173" s="70"/>
      <c r="K173" s="8">
        <v>0.1</v>
      </c>
      <c r="L173" s="10">
        <v>3.31</v>
      </c>
      <c r="M173" s="10">
        <v>7.87</v>
      </c>
      <c r="N173" s="10">
        <v>40.76</v>
      </c>
      <c r="O173" s="14">
        <v>0.60069444444444442</v>
      </c>
      <c r="P173" s="18"/>
    </row>
    <row r="174" spans="1:16" ht="17" thickBot="1" x14ac:dyDescent="0.25">
      <c r="A174" s="35" t="s">
        <v>179</v>
      </c>
      <c r="B174" s="36">
        <v>53640</v>
      </c>
      <c r="C174" s="54">
        <v>0.47</v>
      </c>
      <c r="D174" s="48">
        <v>0.22</v>
      </c>
      <c r="E174" s="53">
        <v>1.61</v>
      </c>
      <c r="F174" s="53">
        <v>4.4000000000000004</v>
      </c>
      <c r="G174" s="50">
        <v>15.82</v>
      </c>
      <c r="H174" s="68">
        <v>0</v>
      </c>
      <c r="I174" s="69"/>
      <c r="J174" s="70"/>
      <c r="K174" s="8">
        <v>0</v>
      </c>
      <c r="L174" s="10">
        <v>0.13</v>
      </c>
      <c r="M174" s="9">
        <v>-0.19</v>
      </c>
      <c r="N174" s="10">
        <v>45.11</v>
      </c>
      <c r="O174" s="14">
        <v>0.60069444444444442</v>
      </c>
      <c r="P174" s="18"/>
    </row>
    <row r="175" spans="1:16" ht="17" thickBot="1" x14ac:dyDescent="0.25">
      <c r="A175" s="35" t="s">
        <v>180</v>
      </c>
      <c r="B175" s="36">
        <v>377.4</v>
      </c>
      <c r="C175" s="54">
        <v>1.97</v>
      </c>
      <c r="D175" s="48">
        <v>0.03</v>
      </c>
      <c r="E175" s="53">
        <v>0.4</v>
      </c>
      <c r="F175" s="53">
        <v>2.33</v>
      </c>
      <c r="G175" s="50">
        <v>5.01</v>
      </c>
      <c r="H175" s="68">
        <v>0</v>
      </c>
      <c r="I175" s="69">
        <v>0.47</v>
      </c>
      <c r="J175" s="70"/>
      <c r="K175" s="8">
        <v>0.22</v>
      </c>
      <c r="L175" s="10">
        <v>1.61</v>
      </c>
      <c r="M175" s="10">
        <v>4.4000000000000004</v>
      </c>
      <c r="N175" s="10">
        <v>15.82</v>
      </c>
      <c r="O175" s="14">
        <v>0.60138888888888886</v>
      </c>
      <c r="P175" s="18"/>
    </row>
    <row r="176" spans="1:16" ht="17" thickBot="1" x14ac:dyDescent="0.25">
      <c r="A176" s="35" t="s">
        <v>181</v>
      </c>
      <c r="B176" s="36">
        <v>6153</v>
      </c>
      <c r="C176" s="47">
        <v>-1.1100000000000001</v>
      </c>
      <c r="D176" s="48">
        <v>3.89</v>
      </c>
      <c r="E176" s="53">
        <v>1.7</v>
      </c>
      <c r="F176" s="53">
        <v>3.74</v>
      </c>
      <c r="G176" s="50">
        <v>8.61</v>
      </c>
      <c r="H176" s="68">
        <v>0</v>
      </c>
      <c r="I176" s="69">
        <v>1.97</v>
      </c>
      <c r="J176" s="70"/>
      <c r="K176" s="8">
        <v>0.03</v>
      </c>
      <c r="L176" s="10">
        <v>0.4</v>
      </c>
      <c r="M176" s="10">
        <v>2.33</v>
      </c>
      <c r="N176" s="10">
        <v>5.01</v>
      </c>
      <c r="O176" s="14">
        <v>0.60069444444444442</v>
      </c>
      <c r="P176" s="18"/>
    </row>
    <row r="177" spans="1:16" ht="17" thickBot="1" x14ac:dyDescent="0.25">
      <c r="A177" s="35" t="s">
        <v>182</v>
      </c>
      <c r="B177" s="36">
        <v>1799</v>
      </c>
      <c r="C177" s="47">
        <v>-0.83</v>
      </c>
      <c r="D177" s="48">
        <v>0.08</v>
      </c>
      <c r="E177" s="53">
        <v>0.9</v>
      </c>
      <c r="F177" s="53">
        <v>5.08</v>
      </c>
      <c r="G177" s="50">
        <v>1.22</v>
      </c>
      <c r="H177" s="68">
        <v>0</v>
      </c>
      <c r="I177" s="78">
        <v>-1.1100000000000001</v>
      </c>
      <c r="J177" s="79"/>
      <c r="K177" s="8">
        <v>3.89</v>
      </c>
      <c r="L177" s="10">
        <v>1.7</v>
      </c>
      <c r="M177" s="10">
        <v>3.74</v>
      </c>
      <c r="N177" s="10">
        <v>8.61</v>
      </c>
      <c r="O177" s="14">
        <v>0.60069444444444442</v>
      </c>
      <c r="P177" s="18"/>
    </row>
    <row r="178" spans="1:16" ht="17" thickBot="1" x14ac:dyDescent="0.25">
      <c r="A178" s="35" t="s">
        <v>183</v>
      </c>
      <c r="B178" s="36">
        <v>521.29999999999995</v>
      </c>
      <c r="C178" s="47">
        <v>-0.27</v>
      </c>
      <c r="D178" s="48">
        <v>0.23</v>
      </c>
      <c r="E178" s="49">
        <v>-2.4300000000000002</v>
      </c>
      <c r="F178" s="49">
        <v>-8.2899999999999991</v>
      </c>
      <c r="G178" s="55">
        <v>-11.91</v>
      </c>
      <c r="H178" s="51">
        <v>751032</v>
      </c>
      <c r="I178" s="78">
        <v>-0.83</v>
      </c>
      <c r="J178" s="79"/>
      <c r="K178" s="8">
        <v>0.08</v>
      </c>
      <c r="L178" s="10">
        <v>0.9</v>
      </c>
      <c r="M178" s="10">
        <v>5.08</v>
      </c>
      <c r="N178" s="10">
        <v>1.22</v>
      </c>
      <c r="O178" s="14">
        <v>0.60138888888888886</v>
      </c>
      <c r="P178" s="18"/>
    </row>
    <row r="179" spans="1:16" ht="17" thickBot="1" x14ac:dyDescent="0.25">
      <c r="A179" s="35" t="s">
        <v>184</v>
      </c>
      <c r="B179" s="36">
        <v>3492</v>
      </c>
      <c r="C179" s="54">
        <v>0</v>
      </c>
      <c r="D179" s="48">
        <v>0</v>
      </c>
      <c r="E179" s="53">
        <v>0</v>
      </c>
      <c r="F179" s="49">
        <v>-0.88</v>
      </c>
      <c r="G179" s="50">
        <v>34.82</v>
      </c>
      <c r="H179" s="68">
        <v>0</v>
      </c>
      <c r="I179" s="78">
        <v>-0.27</v>
      </c>
      <c r="J179" s="79"/>
      <c r="K179" s="8">
        <v>0.23</v>
      </c>
      <c r="L179" s="9">
        <v>-2.4300000000000002</v>
      </c>
      <c r="M179" s="9">
        <v>-8.2899999999999991</v>
      </c>
      <c r="N179" s="9">
        <v>-11.91</v>
      </c>
      <c r="O179" s="14">
        <v>0.60138888888888886</v>
      </c>
      <c r="P179" s="18"/>
    </row>
    <row r="180" spans="1:16" ht="17" thickBot="1" x14ac:dyDescent="0.25">
      <c r="A180" s="35" t="s">
        <v>185</v>
      </c>
      <c r="B180" s="36">
        <v>7253</v>
      </c>
      <c r="C180" s="47">
        <v>-1.0900000000000001</v>
      </c>
      <c r="D180" s="48">
        <v>0.14000000000000001</v>
      </c>
      <c r="E180" s="49">
        <v>-2.12</v>
      </c>
      <c r="F180" s="49">
        <v>-1.1599999999999999</v>
      </c>
      <c r="G180" s="50">
        <v>20.440000000000001</v>
      </c>
      <c r="H180" s="68">
        <v>0</v>
      </c>
      <c r="I180" s="69"/>
      <c r="J180" s="70"/>
      <c r="K180" s="8">
        <v>0</v>
      </c>
      <c r="L180" s="10">
        <v>0</v>
      </c>
      <c r="M180" s="9">
        <v>-0.88</v>
      </c>
      <c r="N180" s="10">
        <v>34.82</v>
      </c>
      <c r="O180" s="14">
        <v>0.60069444444444442</v>
      </c>
      <c r="P180" s="18"/>
    </row>
    <row r="181" spans="1:16" ht="17" thickBot="1" x14ac:dyDescent="0.25">
      <c r="A181" s="35" t="s">
        <v>186</v>
      </c>
      <c r="B181" s="36">
        <v>422.2</v>
      </c>
      <c r="C181" s="54">
        <v>1.34</v>
      </c>
      <c r="D181" s="48">
        <v>0</v>
      </c>
      <c r="E181" s="53">
        <v>1.22</v>
      </c>
      <c r="F181" s="49">
        <v>-6.92</v>
      </c>
      <c r="G181" s="50">
        <v>5.37</v>
      </c>
      <c r="H181" s="68">
        <v>0</v>
      </c>
      <c r="I181" s="78">
        <v>-1.0900000000000001</v>
      </c>
      <c r="J181" s="79"/>
      <c r="K181" s="8">
        <v>0.14000000000000001</v>
      </c>
      <c r="L181" s="9">
        <v>-2.12</v>
      </c>
      <c r="M181" s="9">
        <v>-1.1599999999999999</v>
      </c>
      <c r="N181" s="10">
        <v>20.440000000000001</v>
      </c>
      <c r="O181" s="14">
        <v>0.60138888888888886</v>
      </c>
      <c r="P181" s="18"/>
    </row>
    <row r="182" spans="1:16" ht="17" thickBot="1" x14ac:dyDescent="0.25">
      <c r="A182" s="35" t="s">
        <v>187</v>
      </c>
      <c r="B182" s="36">
        <v>152000</v>
      </c>
      <c r="C182" s="54">
        <v>0.2</v>
      </c>
      <c r="D182" s="48">
        <v>0.27</v>
      </c>
      <c r="E182" s="49">
        <v>-0.2</v>
      </c>
      <c r="F182" s="53">
        <v>7.0000000000000007E-2</v>
      </c>
      <c r="G182" s="50">
        <v>37.15</v>
      </c>
      <c r="H182" s="68">
        <v>0</v>
      </c>
      <c r="I182" s="69">
        <v>1.34</v>
      </c>
      <c r="J182" s="70"/>
      <c r="K182" s="8">
        <v>0</v>
      </c>
      <c r="L182" s="10">
        <v>1.22</v>
      </c>
      <c r="M182" s="9">
        <v>-6.92</v>
      </c>
      <c r="N182" s="10">
        <v>5.37</v>
      </c>
      <c r="O182" s="14">
        <v>0.60069444444444442</v>
      </c>
      <c r="P182" s="18"/>
    </row>
    <row r="183" spans="1:16" ht="17" thickBot="1" x14ac:dyDescent="0.25">
      <c r="A183" s="35" t="s">
        <v>188</v>
      </c>
      <c r="B183" s="36">
        <v>6054</v>
      </c>
      <c r="C183" s="47">
        <v>-0.18</v>
      </c>
      <c r="D183" s="48">
        <v>0.33</v>
      </c>
      <c r="E183" s="49">
        <v>-0.18</v>
      </c>
      <c r="F183" s="53">
        <v>3.58</v>
      </c>
      <c r="G183" s="50">
        <v>13.05</v>
      </c>
      <c r="H183" s="68">
        <v>0</v>
      </c>
      <c r="I183" s="69">
        <v>0.2</v>
      </c>
      <c r="J183" s="70"/>
      <c r="K183" s="8">
        <v>0.27</v>
      </c>
      <c r="L183" s="9">
        <v>-0.2</v>
      </c>
      <c r="M183" s="10">
        <v>7.0000000000000007E-2</v>
      </c>
      <c r="N183" s="10">
        <v>37.15</v>
      </c>
      <c r="O183" s="14">
        <v>0.60069444444444442</v>
      </c>
      <c r="P183" s="18"/>
    </row>
    <row r="184" spans="1:16" ht="17" thickBot="1" x14ac:dyDescent="0.25">
      <c r="A184" s="35" t="s">
        <v>189</v>
      </c>
      <c r="B184" s="36">
        <v>72.5</v>
      </c>
      <c r="C184" s="54">
        <v>0.55000000000000004</v>
      </c>
      <c r="D184" s="48">
        <v>0.44</v>
      </c>
      <c r="E184" s="49">
        <v>-2.5499999999999998</v>
      </c>
      <c r="F184" s="53">
        <v>11.71</v>
      </c>
      <c r="G184" s="50">
        <v>20.03</v>
      </c>
      <c r="H184" s="51">
        <v>765016</v>
      </c>
      <c r="I184" s="78">
        <v>-0.18</v>
      </c>
      <c r="J184" s="79"/>
      <c r="K184" s="8">
        <v>0.33</v>
      </c>
      <c r="L184" s="9">
        <v>-0.18</v>
      </c>
      <c r="M184" s="10">
        <v>3.58</v>
      </c>
      <c r="N184" s="10">
        <v>13.05</v>
      </c>
      <c r="O184" s="14">
        <v>0.60138888888888886</v>
      </c>
      <c r="P184" s="18"/>
    </row>
    <row r="185" spans="1:16" ht="17" customHeight="1" thickBot="1" x14ac:dyDescent="0.25">
      <c r="A185" s="35" t="s">
        <v>190</v>
      </c>
      <c r="B185" s="36">
        <v>1083</v>
      </c>
      <c r="C185" s="47">
        <v>-0.18</v>
      </c>
      <c r="D185" s="48">
        <v>0.2</v>
      </c>
      <c r="E185" s="53">
        <v>1.1200000000000001</v>
      </c>
      <c r="F185" s="53">
        <v>5.15</v>
      </c>
      <c r="G185" s="50">
        <v>24.77</v>
      </c>
      <c r="H185" s="68">
        <v>0</v>
      </c>
      <c r="I185" s="69">
        <v>0.55000000000000004</v>
      </c>
      <c r="J185" s="70"/>
      <c r="K185" s="8">
        <v>0.44</v>
      </c>
      <c r="L185" s="9">
        <v>-2.5499999999999998</v>
      </c>
      <c r="M185" s="10">
        <v>11.71</v>
      </c>
      <c r="N185" s="10">
        <v>20.03</v>
      </c>
      <c r="O185" s="14">
        <v>0.60138888888888886</v>
      </c>
      <c r="P185" s="18"/>
    </row>
    <row r="186" spans="1:16" ht="17" thickBot="1" x14ac:dyDescent="0.25">
      <c r="A186" s="35" t="s">
        <v>191</v>
      </c>
      <c r="B186" s="36">
        <v>996.7</v>
      </c>
      <c r="C186" s="47">
        <v>-1.1200000000000001</v>
      </c>
      <c r="D186" s="48">
        <v>0</v>
      </c>
      <c r="E186" s="49">
        <v>-0.33</v>
      </c>
      <c r="F186" s="49">
        <v>-4.8</v>
      </c>
      <c r="G186" s="50">
        <v>47.05</v>
      </c>
      <c r="H186" s="68">
        <v>0</v>
      </c>
      <c r="I186" s="78">
        <v>-0.18</v>
      </c>
      <c r="J186" s="79"/>
      <c r="K186" s="8">
        <v>0.2</v>
      </c>
      <c r="L186" s="10">
        <v>1.1200000000000001</v>
      </c>
      <c r="M186" s="10">
        <v>5.15</v>
      </c>
      <c r="N186" s="10">
        <v>24.77</v>
      </c>
      <c r="O186" s="14">
        <v>0.60138888888888886</v>
      </c>
      <c r="P186" s="18"/>
    </row>
    <row r="187" spans="1:16" ht="17" thickBot="1" x14ac:dyDescent="0.25">
      <c r="A187" s="35" t="s">
        <v>192</v>
      </c>
      <c r="B187" s="36">
        <v>73.099999999999994</v>
      </c>
      <c r="C187" s="47">
        <v>-4.4400000000000004</v>
      </c>
      <c r="D187" s="48">
        <v>0</v>
      </c>
      <c r="E187" s="49">
        <v>-6.64</v>
      </c>
      <c r="F187" s="49">
        <v>-2.5299999999999998</v>
      </c>
      <c r="G187" s="55">
        <v>-24.64</v>
      </c>
      <c r="H187" s="68">
        <v>0</v>
      </c>
      <c r="I187" s="78">
        <v>-1.1200000000000001</v>
      </c>
      <c r="J187" s="79"/>
      <c r="K187" s="8">
        <v>0</v>
      </c>
      <c r="L187" s="9">
        <v>-0.33</v>
      </c>
      <c r="M187" s="9">
        <v>-4.8</v>
      </c>
      <c r="N187" s="10">
        <v>47.05</v>
      </c>
      <c r="O187" s="14">
        <v>0.60069444444444442</v>
      </c>
      <c r="P187" s="18"/>
    </row>
    <row r="188" spans="1:16" ht="17" customHeight="1" thickBot="1" x14ac:dyDescent="0.25">
      <c r="A188" s="35" t="s">
        <v>193</v>
      </c>
      <c r="B188" s="36">
        <v>928</v>
      </c>
      <c r="C188" s="54">
        <v>0</v>
      </c>
      <c r="D188" s="48">
        <v>0</v>
      </c>
      <c r="E188" s="53">
        <v>2.8</v>
      </c>
      <c r="F188" s="53">
        <v>3.11</v>
      </c>
      <c r="G188" s="50">
        <v>126.34</v>
      </c>
      <c r="H188" s="68">
        <v>0</v>
      </c>
      <c r="I188" s="78">
        <v>-4.4400000000000004</v>
      </c>
      <c r="J188" s="79"/>
      <c r="K188" s="8">
        <v>0</v>
      </c>
      <c r="L188" s="9">
        <v>-6.64</v>
      </c>
      <c r="M188" s="9">
        <v>-2.5299999999999998</v>
      </c>
      <c r="N188" s="9">
        <v>-24.64</v>
      </c>
      <c r="O188" s="14">
        <v>0.60138888888888886</v>
      </c>
      <c r="P188" s="18"/>
    </row>
    <row r="189" spans="1:16" ht="17" customHeight="1" thickBot="1" x14ac:dyDescent="0.25">
      <c r="A189" s="35" t="s">
        <v>194</v>
      </c>
      <c r="B189" s="36">
        <v>1453</v>
      </c>
      <c r="C189" s="47">
        <v>-0.48</v>
      </c>
      <c r="D189" s="48">
        <v>1.22</v>
      </c>
      <c r="E189" s="53">
        <v>1.1100000000000001</v>
      </c>
      <c r="F189" s="53">
        <v>0.62</v>
      </c>
      <c r="G189" s="50">
        <v>25.07</v>
      </c>
      <c r="H189" s="68">
        <v>0</v>
      </c>
      <c r="I189" s="69"/>
      <c r="J189" s="70"/>
      <c r="K189" s="8">
        <v>0</v>
      </c>
      <c r="L189" s="10">
        <v>2.8</v>
      </c>
      <c r="M189" s="10">
        <v>3.11</v>
      </c>
      <c r="N189" s="10">
        <v>126.34</v>
      </c>
      <c r="O189" s="14">
        <v>0.60069444444444442</v>
      </c>
      <c r="P189" s="18"/>
    </row>
    <row r="190" spans="1:16" ht="17" thickBot="1" x14ac:dyDescent="0.25">
      <c r="A190" s="35" t="s">
        <v>195</v>
      </c>
      <c r="B190" s="36">
        <v>6719</v>
      </c>
      <c r="C190" s="54">
        <v>0</v>
      </c>
      <c r="D190" s="48">
        <v>0</v>
      </c>
      <c r="E190" s="53">
        <v>0</v>
      </c>
      <c r="F190" s="53">
        <v>5.81</v>
      </c>
      <c r="G190" s="50">
        <v>12.73</v>
      </c>
      <c r="H190" s="68">
        <v>0</v>
      </c>
      <c r="I190" s="78">
        <v>-0.48</v>
      </c>
      <c r="J190" s="79"/>
      <c r="K190" s="8">
        <v>1.22</v>
      </c>
      <c r="L190" s="10">
        <v>1.1100000000000001</v>
      </c>
      <c r="M190" s="10">
        <v>0.62</v>
      </c>
      <c r="N190" s="10">
        <v>25.07</v>
      </c>
      <c r="O190" s="14">
        <v>0.60138888888888886</v>
      </c>
      <c r="P190" s="18"/>
    </row>
    <row r="191" spans="1:16" ht="17" customHeight="1" thickBot="1" x14ac:dyDescent="0.25">
      <c r="A191" s="35" t="s">
        <v>196</v>
      </c>
      <c r="B191" s="36">
        <v>30940</v>
      </c>
      <c r="C191" s="54">
        <v>1.18</v>
      </c>
      <c r="D191" s="48">
        <v>0.12</v>
      </c>
      <c r="E191" s="53">
        <v>1.34</v>
      </c>
      <c r="F191" s="53">
        <v>4.18</v>
      </c>
      <c r="G191" s="50">
        <v>55.59</v>
      </c>
      <c r="H191" s="68">
        <v>0</v>
      </c>
      <c r="I191" s="69"/>
      <c r="J191" s="70"/>
      <c r="K191" s="8">
        <v>0</v>
      </c>
      <c r="L191" s="10">
        <v>0</v>
      </c>
      <c r="M191" s="10">
        <v>5.81</v>
      </c>
      <c r="N191" s="10">
        <v>12.73</v>
      </c>
      <c r="O191" s="14">
        <v>0.60138888888888886</v>
      </c>
      <c r="P191" s="18"/>
    </row>
    <row r="192" spans="1:16" ht="17" thickBot="1" x14ac:dyDescent="0.25">
      <c r="A192" s="35" t="s">
        <v>197</v>
      </c>
      <c r="B192" s="36">
        <v>9118</v>
      </c>
      <c r="C192" s="54">
        <v>0.2</v>
      </c>
      <c r="D192" s="48">
        <v>0.09</v>
      </c>
      <c r="E192" s="53">
        <v>1.3</v>
      </c>
      <c r="F192" s="53">
        <v>2.2999999999999998</v>
      </c>
      <c r="G192" s="50">
        <v>10.17</v>
      </c>
      <c r="H192" s="68">
        <v>0</v>
      </c>
      <c r="I192" s="69">
        <v>1.18</v>
      </c>
      <c r="J192" s="70"/>
      <c r="K192" s="8">
        <v>0.12</v>
      </c>
      <c r="L192" s="10">
        <v>1.34</v>
      </c>
      <c r="M192" s="10">
        <v>4.18</v>
      </c>
      <c r="N192" s="10">
        <v>55.59</v>
      </c>
      <c r="O192" s="14">
        <v>0.60138888888888886</v>
      </c>
      <c r="P192" s="18"/>
    </row>
    <row r="193" spans="1:16" ht="17" thickBot="1" x14ac:dyDescent="0.25">
      <c r="A193" s="35" t="s">
        <v>198</v>
      </c>
      <c r="B193" s="36">
        <v>17230</v>
      </c>
      <c r="C193" s="54">
        <v>0</v>
      </c>
      <c r="D193" s="48">
        <v>0.04</v>
      </c>
      <c r="E193" s="49">
        <v>-0.52</v>
      </c>
      <c r="F193" s="49">
        <v>-4.8099999999999996</v>
      </c>
      <c r="G193" s="50">
        <v>60.88</v>
      </c>
      <c r="H193" s="68">
        <v>0</v>
      </c>
      <c r="I193" s="69">
        <v>0.2</v>
      </c>
      <c r="J193" s="70"/>
      <c r="K193" s="8">
        <v>0.09</v>
      </c>
      <c r="L193" s="10">
        <v>1.3</v>
      </c>
      <c r="M193" s="10">
        <v>2.2999999999999998</v>
      </c>
      <c r="N193" s="10">
        <v>10.17</v>
      </c>
      <c r="O193" s="14">
        <v>0.60069444444444442</v>
      </c>
      <c r="P193" s="18"/>
    </row>
    <row r="194" spans="1:16" ht="17" thickBot="1" x14ac:dyDescent="0.25">
      <c r="A194" s="35" t="s">
        <v>199</v>
      </c>
      <c r="B194" s="36">
        <v>1906</v>
      </c>
      <c r="C194" s="54">
        <v>0</v>
      </c>
      <c r="D194" s="48">
        <v>0</v>
      </c>
      <c r="E194" s="53">
        <v>0</v>
      </c>
      <c r="F194" s="53">
        <v>0</v>
      </c>
      <c r="G194" s="50">
        <v>8.14</v>
      </c>
      <c r="H194" s="68">
        <v>0</v>
      </c>
      <c r="I194" s="69"/>
      <c r="J194" s="70"/>
      <c r="K194" s="8">
        <v>0.04</v>
      </c>
      <c r="L194" s="9">
        <v>-0.52</v>
      </c>
      <c r="M194" s="9">
        <v>-4.8099999999999996</v>
      </c>
      <c r="N194" s="10">
        <v>60.88</v>
      </c>
      <c r="O194" s="14">
        <v>0.60069444444444442</v>
      </c>
      <c r="P194" s="18"/>
    </row>
    <row r="195" spans="1:16" ht="17" thickBot="1" x14ac:dyDescent="0.25">
      <c r="A195" s="35" t="s">
        <v>200</v>
      </c>
      <c r="B195" s="36">
        <v>995.9</v>
      </c>
      <c r="C195" s="47">
        <v>-0.31</v>
      </c>
      <c r="D195" s="48">
        <v>0.02</v>
      </c>
      <c r="E195" s="53">
        <v>1.17</v>
      </c>
      <c r="F195" s="53">
        <v>0.95</v>
      </c>
      <c r="G195" s="50">
        <v>19.43</v>
      </c>
      <c r="H195" s="68">
        <v>0</v>
      </c>
      <c r="I195" s="69"/>
      <c r="J195" s="70"/>
      <c r="K195" s="8">
        <v>0</v>
      </c>
      <c r="L195" s="10">
        <v>0</v>
      </c>
      <c r="M195" s="10">
        <v>0</v>
      </c>
      <c r="N195" s="10">
        <v>8.14</v>
      </c>
      <c r="O195" s="14">
        <v>0.60138888888888886</v>
      </c>
      <c r="P195" s="18"/>
    </row>
    <row r="196" spans="1:16" ht="17" thickBot="1" x14ac:dyDescent="0.25">
      <c r="A196" s="35" t="s">
        <v>201</v>
      </c>
      <c r="B196" s="36">
        <v>168</v>
      </c>
      <c r="C196" s="54">
        <v>0</v>
      </c>
      <c r="D196" s="48">
        <v>0</v>
      </c>
      <c r="E196" s="53">
        <v>0.3</v>
      </c>
      <c r="F196" s="53">
        <v>0.3</v>
      </c>
      <c r="G196" s="55">
        <v>-42.07</v>
      </c>
      <c r="H196" s="68">
        <v>0</v>
      </c>
      <c r="I196" s="78">
        <v>-0.31</v>
      </c>
      <c r="J196" s="79"/>
      <c r="K196" s="8">
        <v>0.02</v>
      </c>
      <c r="L196" s="10">
        <v>1.17</v>
      </c>
      <c r="M196" s="10">
        <v>0.95</v>
      </c>
      <c r="N196" s="10">
        <v>19.43</v>
      </c>
      <c r="O196" s="14">
        <v>0.60138888888888886</v>
      </c>
      <c r="P196" s="18"/>
    </row>
    <row r="197" spans="1:16" ht="17" thickBot="1" x14ac:dyDescent="0.25">
      <c r="A197" s="35" t="s">
        <v>202</v>
      </c>
      <c r="B197" s="36">
        <v>605</v>
      </c>
      <c r="C197" s="54">
        <v>0</v>
      </c>
      <c r="D197" s="48">
        <v>0</v>
      </c>
      <c r="E197" s="53">
        <v>0</v>
      </c>
      <c r="F197" s="53">
        <v>0</v>
      </c>
      <c r="G197" s="55">
        <v>-12.32</v>
      </c>
      <c r="H197" s="68">
        <v>0</v>
      </c>
      <c r="I197" s="69"/>
      <c r="J197" s="70"/>
      <c r="K197" s="8">
        <v>0</v>
      </c>
      <c r="L197" s="10">
        <v>0.3</v>
      </c>
      <c r="M197" s="10">
        <v>0.3</v>
      </c>
      <c r="N197" s="9">
        <v>-42.07</v>
      </c>
      <c r="O197" s="14">
        <v>0.60138888888888886</v>
      </c>
      <c r="P197" s="18"/>
    </row>
    <row r="198" spans="1:16" ht="17" thickBot="1" x14ac:dyDescent="0.25">
      <c r="A198" s="35" t="s">
        <v>203</v>
      </c>
      <c r="B198" s="36">
        <v>3325</v>
      </c>
      <c r="C198" s="47">
        <v>-0.78</v>
      </c>
      <c r="D198" s="48">
        <v>1.01</v>
      </c>
      <c r="E198" s="53">
        <v>0.3</v>
      </c>
      <c r="F198" s="53">
        <v>1.37</v>
      </c>
      <c r="G198" s="50">
        <v>2.36</v>
      </c>
      <c r="H198" s="68">
        <v>0</v>
      </c>
      <c r="I198" s="69"/>
      <c r="J198" s="70"/>
      <c r="K198" s="8">
        <v>0</v>
      </c>
      <c r="L198" s="10">
        <v>0</v>
      </c>
      <c r="M198" s="10">
        <v>0</v>
      </c>
      <c r="N198" s="9">
        <v>-12.32</v>
      </c>
      <c r="O198" s="14">
        <v>0.60069444444444442</v>
      </c>
      <c r="P198" s="18"/>
    </row>
    <row r="199" spans="1:16" ht="17" thickBot="1" x14ac:dyDescent="0.25">
      <c r="A199" s="35" t="s">
        <v>204</v>
      </c>
      <c r="B199" s="36">
        <v>66.5</v>
      </c>
      <c r="C199" s="54">
        <v>0</v>
      </c>
      <c r="D199" s="48">
        <v>0</v>
      </c>
      <c r="E199" s="53">
        <v>2.15</v>
      </c>
      <c r="F199" s="49">
        <v>-4.45</v>
      </c>
      <c r="G199" s="55">
        <v>-16.14</v>
      </c>
      <c r="H199" s="68">
        <v>0</v>
      </c>
      <c r="I199" s="78">
        <v>-0.78</v>
      </c>
      <c r="J199" s="79"/>
      <c r="K199" s="8">
        <v>1.01</v>
      </c>
      <c r="L199" s="10">
        <v>0.3</v>
      </c>
      <c r="M199" s="10">
        <v>1.37</v>
      </c>
      <c r="N199" s="10">
        <v>2.36</v>
      </c>
      <c r="O199" s="14">
        <v>0.60138888888888886</v>
      </c>
      <c r="P199" s="18"/>
    </row>
    <row r="200" spans="1:16" ht="17" thickBot="1" x14ac:dyDescent="0.25">
      <c r="A200" s="35" t="s">
        <v>205</v>
      </c>
      <c r="B200" s="36">
        <v>4563</v>
      </c>
      <c r="C200" s="54">
        <v>0.82</v>
      </c>
      <c r="D200" s="48">
        <v>0.19</v>
      </c>
      <c r="E200" s="53">
        <v>0.91</v>
      </c>
      <c r="F200" s="53">
        <v>4.66</v>
      </c>
      <c r="G200" s="50">
        <v>51.54</v>
      </c>
      <c r="H200" s="68">
        <v>0</v>
      </c>
      <c r="I200" s="69"/>
      <c r="J200" s="70"/>
      <c r="K200" s="8">
        <v>0</v>
      </c>
      <c r="L200" s="10">
        <v>2.15</v>
      </c>
      <c r="M200" s="9">
        <v>-4.45</v>
      </c>
      <c r="N200" s="9">
        <v>-16.14</v>
      </c>
      <c r="O200" s="14">
        <v>0.60069444444444442</v>
      </c>
      <c r="P200" s="18"/>
    </row>
    <row r="201" spans="1:16" ht="17" thickBot="1" x14ac:dyDescent="0.25">
      <c r="A201" s="35" t="s">
        <v>206</v>
      </c>
      <c r="B201" s="36">
        <v>3880</v>
      </c>
      <c r="C201" s="47">
        <v>-1.27</v>
      </c>
      <c r="D201" s="48">
        <v>0.06</v>
      </c>
      <c r="E201" s="49">
        <v>-2.12</v>
      </c>
      <c r="F201" s="53">
        <v>2.67</v>
      </c>
      <c r="G201" s="50">
        <v>92.7</v>
      </c>
      <c r="H201" s="68">
        <v>0</v>
      </c>
      <c r="I201" s="69">
        <v>0.82</v>
      </c>
      <c r="J201" s="70"/>
      <c r="K201" s="8">
        <v>0.19</v>
      </c>
      <c r="L201" s="10">
        <v>0.91</v>
      </c>
      <c r="M201" s="10">
        <v>4.66</v>
      </c>
      <c r="N201" s="10">
        <v>51.54</v>
      </c>
      <c r="O201" s="14">
        <v>0.60138888888888886</v>
      </c>
      <c r="P201" s="18"/>
    </row>
    <row r="202" spans="1:16" ht="17" thickBot="1" x14ac:dyDescent="0.25">
      <c r="A202" s="35" t="s">
        <v>207</v>
      </c>
      <c r="B202" s="36">
        <v>107.2</v>
      </c>
      <c r="C202" s="47">
        <v>-1.92</v>
      </c>
      <c r="D202" s="48">
        <v>0.01</v>
      </c>
      <c r="E202" s="49">
        <v>-0.92</v>
      </c>
      <c r="F202" s="49">
        <v>-9.15</v>
      </c>
      <c r="G202" s="55">
        <v>-1.47</v>
      </c>
      <c r="H202" s="68">
        <v>0</v>
      </c>
      <c r="I202" s="78">
        <v>-1.27</v>
      </c>
      <c r="J202" s="79"/>
      <c r="K202" s="8">
        <v>0.06</v>
      </c>
      <c r="L202" s="9">
        <v>-2.12</v>
      </c>
      <c r="M202" s="10">
        <v>2.67</v>
      </c>
      <c r="N202" s="10">
        <v>92.7</v>
      </c>
      <c r="O202" s="14">
        <v>0.60069444444444442</v>
      </c>
      <c r="P202" s="18"/>
    </row>
    <row r="203" spans="1:16" ht="17" customHeight="1" thickBot="1" x14ac:dyDescent="0.25">
      <c r="A203" s="35" t="s">
        <v>208</v>
      </c>
      <c r="B203" s="36">
        <v>72.099999999999994</v>
      </c>
      <c r="C203" s="54">
        <v>0</v>
      </c>
      <c r="D203" s="48">
        <v>0</v>
      </c>
      <c r="E203" s="53">
        <v>0</v>
      </c>
      <c r="F203" s="53">
        <v>0</v>
      </c>
      <c r="G203" s="55">
        <v>-61.15</v>
      </c>
      <c r="H203" s="68">
        <v>0</v>
      </c>
      <c r="I203" s="78">
        <v>-1.92</v>
      </c>
      <c r="J203" s="79"/>
      <c r="K203" s="8">
        <v>0.01</v>
      </c>
      <c r="L203" s="9">
        <v>-0.92</v>
      </c>
      <c r="M203" s="9">
        <v>-9.15</v>
      </c>
      <c r="N203" s="9">
        <v>-1.47</v>
      </c>
      <c r="O203" s="14">
        <v>0.60069444444444442</v>
      </c>
      <c r="P203" s="18"/>
    </row>
    <row r="204" spans="1:16" ht="17" thickBot="1" x14ac:dyDescent="0.25">
      <c r="A204" s="35" t="s">
        <v>209</v>
      </c>
      <c r="B204" s="36">
        <v>1462</v>
      </c>
      <c r="C204" s="54">
        <v>0</v>
      </c>
      <c r="D204" s="48">
        <v>0</v>
      </c>
      <c r="E204" s="53">
        <v>0.48</v>
      </c>
      <c r="F204" s="53">
        <v>2.2400000000000002</v>
      </c>
      <c r="G204" s="55">
        <v>-6.78</v>
      </c>
      <c r="H204" s="68">
        <v>0</v>
      </c>
      <c r="I204" s="69"/>
      <c r="J204" s="70"/>
      <c r="K204" s="8">
        <v>0</v>
      </c>
      <c r="L204" s="10">
        <v>0</v>
      </c>
      <c r="M204" s="10">
        <v>0</v>
      </c>
      <c r="N204" s="9">
        <v>-61.15</v>
      </c>
      <c r="O204" s="14">
        <v>0.3263888888888889</v>
      </c>
      <c r="P204" s="18"/>
    </row>
    <row r="205" spans="1:16" ht="17" thickBot="1" x14ac:dyDescent="0.25">
      <c r="A205" s="35" t="s">
        <v>210</v>
      </c>
      <c r="B205" s="36">
        <v>6043</v>
      </c>
      <c r="C205" s="54">
        <v>1.32</v>
      </c>
      <c r="D205" s="48">
        <v>0.11</v>
      </c>
      <c r="E205" s="53">
        <v>9.65</v>
      </c>
      <c r="F205" s="53">
        <v>25.22</v>
      </c>
      <c r="G205" s="50">
        <v>230.58</v>
      </c>
      <c r="H205" s="68">
        <v>0</v>
      </c>
      <c r="I205" s="69"/>
      <c r="J205" s="70"/>
      <c r="K205" s="8">
        <v>0</v>
      </c>
      <c r="L205" s="10">
        <v>0.48</v>
      </c>
      <c r="M205" s="10">
        <v>2.2400000000000002</v>
      </c>
      <c r="N205" s="9">
        <v>-6.78</v>
      </c>
      <c r="O205" s="14">
        <v>0.60069444444444442</v>
      </c>
      <c r="P205" s="18"/>
    </row>
    <row r="206" spans="1:16" ht="17" thickBot="1" x14ac:dyDescent="0.25">
      <c r="A206" s="35" t="s">
        <v>211</v>
      </c>
      <c r="B206" s="36">
        <v>3741</v>
      </c>
      <c r="C206" s="47">
        <v>-1.08</v>
      </c>
      <c r="D206" s="48">
        <v>0.09</v>
      </c>
      <c r="E206" s="53">
        <v>0.73</v>
      </c>
      <c r="F206" s="49">
        <v>-3.06</v>
      </c>
      <c r="G206" s="50">
        <v>8.6</v>
      </c>
      <c r="H206" s="68">
        <v>0</v>
      </c>
      <c r="I206" s="69">
        <v>1.32</v>
      </c>
      <c r="J206" s="70"/>
      <c r="K206" s="8">
        <v>0.11</v>
      </c>
      <c r="L206" s="10">
        <v>9.65</v>
      </c>
      <c r="M206" s="10">
        <v>25.22</v>
      </c>
      <c r="N206" s="10">
        <v>230.58</v>
      </c>
      <c r="O206" s="14">
        <v>0.60069444444444442</v>
      </c>
      <c r="P206" s="18"/>
    </row>
    <row r="207" spans="1:16" ht="17" customHeight="1" thickBot="1" x14ac:dyDescent="0.25">
      <c r="A207" s="35" t="s">
        <v>212</v>
      </c>
      <c r="B207" s="36">
        <v>530.4</v>
      </c>
      <c r="C207" s="47">
        <v>-0.32</v>
      </c>
      <c r="D207" s="48">
        <v>0.04</v>
      </c>
      <c r="E207" s="49">
        <v>-2.3199999999999998</v>
      </c>
      <c r="F207" s="49">
        <v>-4.45</v>
      </c>
      <c r="G207" s="50">
        <v>46.94</v>
      </c>
      <c r="H207" s="68">
        <v>0</v>
      </c>
      <c r="I207" s="78">
        <v>-1.08</v>
      </c>
      <c r="J207" s="79"/>
      <c r="K207" s="8">
        <v>0.09</v>
      </c>
      <c r="L207" s="10">
        <v>0.73</v>
      </c>
      <c r="M207" s="9">
        <v>-3.06</v>
      </c>
      <c r="N207" s="10">
        <v>8.6</v>
      </c>
      <c r="O207" s="14">
        <v>0.60138888888888886</v>
      </c>
      <c r="P207" s="18"/>
    </row>
    <row r="208" spans="1:16" ht="17" thickBot="1" x14ac:dyDescent="0.25">
      <c r="A208" s="35" t="s">
        <v>213</v>
      </c>
      <c r="B208" s="36">
        <v>1041</v>
      </c>
      <c r="C208" s="54">
        <v>0.39</v>
      </c>
      <c r="D208" s="48">
        <v>0.01</v>
      </c>
      <c r="E208" s="53">
        <v>2.76</v>
      </c>
      <c r="F208" s="53">
        <v>0.1</v>
      </c>
      <c r="G208" s="50">
        <v>10.75</v>
      </c>
      <c r="H208" s="68">
        <v>0</v>
      </c>
      <c r="I208" s="78">
        <v>-0.32</v>
      </c>
      <c r="J208" s="79"/>
      <c r="K208" s="8">
        <v>0.04</v>
      </c>
      <c r="L208" s="9">
        <v>-2.3199999999999998</v>
      </c>
      <c r="M208" s="9">
        <v>-4.45</v>
      </c>
      <c r="N208" s="10">
        <v>46.94</v>
      </c>
      <c r="O208" s="14">
        <v>0.60138888888888886</v>
      </c>
      <c r="P208" s="18"/>
    </row>
    <row r="209" spans="1:16" ht="17" customHeight="1" thickBot="1" x14ac:dyDescent="0.25">
      <c r="A209" s="35" t="s">
        <v>214</v>
      </c>
      <c r="B209" s="36">
        <v>1971</v>
      </c>
      <c r="C209" s="54">
        <v>0</v>
      </c>
      <c r="D209" s="48">
        <v>0</v>
      </c>
      <c r="E209" s="53">
        <v>0</v>
      </c>
      <c r="F209" s="53">
        <v>0</v>
      </c>
      <c r="G209" s="55">
        <v>-5.24</v>
      </c>
      <c r="H209" s="68">
        <v>0</v>
      </c>
      <c r="I209" s="69">
        <v>0.39</v>
      </c>
      <c r="J209" s="70"/>
      <c r="K209" s="8">
        <v>0.01</v>
      </c>
      <c r="L209" s="10">
        <v>2.76</v>
      </c>
      <c r="M209" s="10">
        <v>0.1</v>
      </c>
      <c r="N209" s="10">
        <v>10.75</v>
      </c>
      <c r="O209" s="14">
        <v>0.60069444444444442</v>
      </c>
      <c r="P209" s="18"/>
    </row>
    <row r="210" spans="1:16" ht="17" thickBot="1" x14ac:dyDescent="0.25">
      <c r="A210" s="35" t="s">
        <v>215</v>
      </c>
      <c r="B210" s="36">
        <v>2500</v>
      </c>
      <c r="C210" s="54">
        <v>0</v>
      </c>
      <c r="D210" s="48">
        <v>0</v>
      </c>
      <c r="E210" s="53">
        <v>0</v>
      </c>
      <c r="F210" s="53">
        <v>6.38</v>
      </c>
      <c r="G210" s="50">
        <v>59.34</v>
      </c>
      <c r="H210" s="68">
        <v>0</v>
      </c>
      <c r="I210" s="69"/>
      <c r="J210" s="70"/>
      <c r="K210" s="8">
        <v>0</v>
      </c>
      <c r="L210" s="10">
        <v>0</v>
      </c>
      <c r="M210" s="10">
        <v>0</v>
      </c>
      <c r="N210" s="9">
        <v>-5.24</v>
      </c>
      <c r="O210" s="14">
        <v>0.60138888888888886</v>
      </c>
      <c r="P210" s="18"/>
    </row>
    <row r="211" spans="1:16" ht="17" thickBot="1" x14ac:dyDescent="0.25">
      <c r="A211" s="35" t="s">
        <v>216</v>
      </c>
      <c r="B211" s="36">
        <v>2193</v>
      </c>
      <c r="C211" s="54">
        <v>0</v>
      </c>
      <c r="D211" s="48">
        <v>0</v>
      </c>
      <c r="E211" s="53">
        <v>0.18</v>
      </c>
      <c r="F211" s="53">
        <v>0.6</v>
      </c>
      <c r="G211" s="50">
        <v>29.08</v>
      </c>
      <c r="H211" s="68">
        <v>0</v>
      </c>
      <c r="I211" s="69"/>
      <c r="J211" s="70"/>
      <c r="K211" s="8">
        <v>0</v>
      </c>
      <c r="L211" s="10">
        <v>0</v>
      </c>
      <c r="M211" s="10">
        <v>6.38</v>
      </c>
      <c r="N211" s="10">
        <v>59.34</v>
      </c>
      <c r="O211" s="14">
        <v>0.60138888888888886</v>
      </c>
      <c r="P211" s="18"/>
    </row>
    <row r="212" spans="1:16" ht="17" thickBot="1" x14ac:dyDescent="0.25">
      <c r="A212" s="35" t="s">
        <v>217</v>
      </c>
      <c r="B212" s="36">
        <v>7337</v>
      </c>
      <c r="C212" s="47">
        <v>-0.35</v>
      </c>
      <c r="D212" s="48">
        <v>0.06</v>
      </c>
      <c r="E212" s="49">
        <v>-0.37</v>
      </c>
      <c r="F212" s="49">
        <v>-1.21</v>
      </c>
      <c r="G212" s="50">
        <v>52</v>
      </c>
      <c r="H212" s="68">
        <v>0</v>
      </c>
      <c r="I212" s="69"/>
      <c r="J212" s="70"/>
      <c r="K212" s="8">
        <v>0</v>
      </c>
      <c r="L212" s="10">
        <v>0.18</v>
      </c>
      <c r="M212" s="10">
        <v>0.6</v>
      </c>
      <c r="N212" s="10">
        <v>29.08</v>
      </c>
      <c r="O212" s="14">
        <v>0.60138888888888886</v>
      </c>
      <c r="P212" s="18"/>
    </row>
    <row r="213" spans="1:16" ht="17" thickBot="1" x14ac:dyDescent="0.25">
      <c r="A213" s="35" t="s">
        <v>218</v>
      </c>
      <c r="B213" s="36">
        <v>20550</v>
      </c>
      <c r="C213" s="47">
        <v>-0.96</v>
      </c>
      <c r="D213" s="48">
        <v>16.440000000000001</v>
      </c>
      <c r="E213" s="53">
        <v>2.75</v>
      </c>
      <c r="F213" s="53">
        <v>4.16</v>
      </c>
      <c r="G213" s="55">
        <v>-1.48</v>
      </c>
      <c r="H213" s="68">
        <v>0</v>
      </c>
      <c r="I213" s="78">
        <v>-0.35</v>
      </c>
      <c r="J213" s="79"/>
      <c r="K213" s="8">
        <v>0.06</v>
      </c>
      <c r="L213" s="9">
        <v>-0.37</v>
      </c>
      <c r="M213" s="9">
        <v>-1.21</v>
      </c>
      <c r="N213" s="10">
        <v>52</v>
      </c>
      <c r="O213" s="14">
        <v>0.60069444444444442</v>
      </c>
      <c r="P213" s="18"/>
    </row>
    <row r="214" spans="1:16" ht="17" thickBot="1" x14ac:dyDescent="0.25">
      <c r="A214" s="35" t="s">
        <v>219</v>
      </c>
      <c r="B214" s="36">
        <v>1438</v>
      </c>
      <c r="C214" s="54">
        <v>0.77</v>
      </c>
      <c r="D214" s="48">
        <v>0.12</v>
      </c>
      <c r="E214" s="49">
        <v>-0.14000000000000001</v>
      </c>
      <c r="F214" s="53">
        <v>1.48</v>
      </c>
      <c r="G214" s="50">
        <v>90.59</v>
      </c>
      <c r="H214" s="68">
        <v>0</v>
      </c>
      <c r="I214" s="78">
        <v>-0.96</v>
      </c>
      <c r="J214" s="79"/>
      <c r="K214" s="8">
        <v>16.440000000000001</v>
      </c>
      <c r="L214" s="10">
        <v>2.75</v>
      </c>
      <c r="M214" s="10">
        <v>4.16</v>
      </c>
      <c r="N214" s="9">
        <v>-1.48</v>
      </c>
      <c r="O214" s="14">
        <v>0.60069444444444442</v>
      </c>
      <c r="P214" s="18"/>
    </row>
    <row r="215" spans="1:16" ht="17" customHeight="1" thickBot="1" x14ac:dyDescent="0.25">
      <c r="A215" s="35" t="s">
        <v>220</v>
      </c>
      <c r="B215" s="36">
        <v>37190</v>
      </c>
      <c r="C215" s="47">
        <v>-1.0900000000000001</v>
      </c>
      <c r="D215" s="48">
        <v>11.26</v>
      </c>
      <c r="E215" s="53">
        <v>2.73</v>
      </c>
      <c r="F215" s="53">
        <v>3.88</v>
      </c>
      <c r="G215" s="50">
        <v>9.83</v>
      </c>
      <c r="H215" s="68">
        <v>0</v>
      </c>
      <c r="I215" s="69">
        <v>0.77</v>
      </c>
      <c r="J215" s="70"/>
      <c r="K215" s="8">
        <v>0.12</v>
      </c>
      <c r="L215" s="9">
        <v>-0.14000000000000001</v>
      </c>
      <c r="M215" s="10">
        <v>1.48</v>
      </c>
      <c r="N215" s="10">
        <v>90.59</v>
      </c>
      <c r="O215" s="14">
        <v>0.60138888888888886</v>
      </c>
      <c r="P215" s="18"/>
    </row>
    <row r="216" spans="1:16" ht="17" customHeight="1" thickBot="1" x14ac:dyDescent="0.25">
      <c r="A216" s="35" t="s">
        <v>221</v>
      </c>
      <c r="B216" s="36">
        <v>252.1</v>
      </c>
      <c r="C216" s="54">
        <v>0.44</v>
      </c>
      <c r="D216" s="48">
        <v>0.89</v>
      </c>
      <c r="E216" s="53">
        <v>1.61</v>
      </c>
      <c r="F216" s="53">
        <v>3.36</v>
      </c>
      <c r="G216" s="55">
        <v>-10.98</v>
      </c>
      <c r="H216" s="51">
        <v>1081165</v>
      </c>
      <c r="I216" s="78">
        <v>-1.0900000000000001</v>
      </c>
      <c r="J216" s="79"/>
      <c r="K216" s="8">
        <v>11.26</v>
      </c>
      <c r="L216" s="10">
        <v>2.73</v>
      </c>
      <c r="M216" s="10">
        <v>3.88</v>
      </c>
      <c r="N216" s="10">
        <v>9.83</v>
      </c>
      <c r="O216" s="14">
        <v>0.60069444444444442</v>
      </c>
      <c r="P216" s="18"/>
    </row>
    <row r="217" spans="1:16" ht="17" thickBot="1" x14ac:dyDescent="0.25">
      <c r="A217" s="35" t="s">
        <v>222</v>
      </c>
      <c r="B217" s="36">
        <v>683.4</v>
      </c>
      <c r="C217" s="54">
        <v>0</v>
      </c>
      <c r="D217" s="48">
        <v>0</v>
      </c>
      <c r="E217" s="49">
        <v>-1.74</v>
      </c>
      <c r="F217" s="49">
        <v>-0.23</v>
      </c>
      <c r="G217" s="50">
        <v>122.39</v>
      </c>
      <c r="H217" s="68">
        <v>0</v>
      </c>
      <c r="I217" s="69">
        <v>0.44</v>
      </c>
      <c r="J217" s="70"/>
      <c r="K217" s="8">
        <v>0.89</v>
      </c>
      <c r="L217" s="10">
        <v>1.61</v>
      </c>
      <c r="M217" s="10">
        <v>3.36</v>
      </c>
      <c r="N217" s="9">
        <v>-10.98</v>
      </c>
      <c r="O217" s="14">
        <v>0.60138888888888886</v>
      </c>
      <c r="P217" s="18"/>
    </row>
    <row r="218" spans="1:16" ht="17" thickBot="1" x14ac:dyDescent="0.25">
      <c r="A218" s="35" t="s">
        <v>223</v>
      </c>
      <c r="B218" s="36">
        <v>6236</v>
      </c>
      <c r="C218" s="54">
        <v>0.57999999999999996</v>
      </c>
      <c r="D218" s="48">
        <v>7.0000000000000007E-2</v>
      </c>
      <c r="E218" s="53">
        <v>1.23</v>
      </c>
      <c r="F218" s="53">
        <v>1.1499999999999999</v>
      </c>
      <c r="G218" s="50">
        <v>56.25</v>
      </c>
      <c r="H218" s="68">
        <v>0</v>
      </c>
      <c r="I218" s="69"/>
      <c r="J218" s="70"/>
      <c r="K218" s="8">
        <v>0</v>
      </c>
      <c r="L218" s="9">
        <v>-1.74</v>
      </c>
      <c r="M218" s="9">
        <v>-0.23</v>
      </c>
      <c r="N218" s="10">
        <v>122.39</v>
      </c>
      <c r="O218" s="14">
        <v>0.60069444444444442</v>
      </c>
      <c r="P218" s="18"/>
    </row>
    <row r="219" spans="1:16" ht="17" thickBot="1" x14ac:dyDescent="0.25">
      <c r="A219" s="35" t="s">
        <v>224</v>
      </c>
      <c r="B219" s="36">
        <v>11220</v>
      </c>
      <c r="C219" s="54">
        <v>2.94</v>
      </c>
      <c r="D219" s="48">
        <v>0.63</v>
      </c>
      <c r="E219" s="53">
        <v>6.65</v>
      </c>
      <c r="F219" s="53">
        <v>11.31</v>
      </c>
      <c r="G219" s="50">
        <v>13.87</v>
      </c>
      <c r="H219" s="68">
        <v>0</v>
      </c>
      <c r="I219" s="69">
        <v>0.57999999999999996</v>
      </c>
      <c r="J219" s="70"/>
      <c r="K219" s="8">
        <v>7.0000000000000007E-2</v>
      </c>
      <c r="L219" s="10">
        <v>1.23</v>
      </c>
      <c r="M219" s="10">
        <v>1.1499999999999999</v>
      </c>
      <c r="N219" s="10">
        <v>56.25</v>
      </c>
      <c r="O219" s="14">
        <v>0.60069444444444442</v>
      </c>
      <c r="P219" s="18"/>
    </row>
    <row r="220" spans="1:16" ht="17" customHeight="1" thickBot="1" x14ac:dyDescent="0.25">
      <c r="A220" s="35" t="s">
        <v>225</v>
      </c>
      <c r="B220" s="36">
        <v>2145</v>
      </c>
      <c r="C220" s="54">
        <v>0.47</v>
      </c>
      <c r="D220" s="48">
        <v>0.43</v>
      </c>
      <c r="E220" s="53">
        <v>1.1299999999999999</v>
      </c>
      <c r="F220" s="49">
        <v>-1.88</v>
      </c>
      <c r="G220" s="50">
        <v>28.21</v>
      </c>
      <c r="H220" s="68">
        <v>0</v>
      </c>
      <c r="I220" s="69">
        <v>2.94</v>
      </c>
      <c r="J220" s="70"/>
      <c r="K220" s="8">
        <v>0.63</v>
      </c>
      <c r="L220" s="10">
        <v>6.65</v>
      </c>
      <c r="M220" s="10">
        <v>11.31</v>
      </c>
      <c r="N220" s="10">
        <v>13.87</v>
      </c>
      <c r="O220" s="14">
        <v>0.60138888888888886</v>
      </c>
      <c r="P220" s="18"/>
    </row>
    <row r="221" spans="1:16" ht="17" thickBot="1" x14ac:dyDescent="0.25">
      <c r="A221" s="35" t="s">
        <v>226</v>
      </c>
      <c r="B221" s="36">
        <v>1490</v>
      </c>
      <c r="C221" s="54">
        <v>0</v>
      </c>
      <c r="D221" s="48">
        <v>0.09</v>
      </c>
      <c r="E221" s="49">
        <v>-0.53</v>
      </c>
      <c r="F221" s="49">
        <v>-0.27</v>
      </c>
      <c r="G221" s="50">
        <v>56.86</v>
      </c>
      <c r="H221" s="68">
        <v>0</v>
      </c>
      <c r="I221" s="69">
        <v>0.47</v>
      </c>
      <c r="J221" s="70"/>
      <c r="K221" s="8">
        <v>0.43</v>
      </c>
      <c r="L221" s="10">
        <v>1.1299999999999999</v>
      </c>
      <c r="M221" s="9">
        <v>-1.88</v>
      </c>
      <c r="N221" s="10">
        <v>28.21</v>
      </c>
      <c r="O221" s="14">
        <v>0.60138888888888886</v>
      </c>
      <c r="P221" s="18"/>
    </row>
    <row r="222" spans="1:16" ht="17" thickBot="1" x14ac:dyDescent="0.25">
      <c r="A222" s="35" t="s">
        <v>227</v>
      </c>
      <c r="B222" s="36">
        <v>692.6</v>
      </c>
      <c r="C222" s="47">
        <v>-0.06</v>
      </c>
      <c r="D222" s="48">
        <v>2.36</v>
      </c>
      <c r="E222" s="53">
        <v>1.1399999999999999</v>
      </c>
      <c r="F222" s="53">
        <v>1.0900000000000001</v>
      </c>
      <c r="G222" s="50">
        <v>15.05</v>
      </c>
      <c r="H222" s="68">
        <v>0</v>
      </c>
      <c r="I222" s="69"/>
      <c r="J222" s="70"/>
      <c r="K222" s="8">
        <v>0.09</v>
      </c>
      <c r="L222" s="9">
        <v>-0.53</v>
      </c>
      <c r="M222" s="9">
        <v>-0.27</v>
      </c>
      <c r="N222" s="10">
        <v>56.86</v>
      </c>
      <c r="O222" s="14">
        <v>0.60069444444444442</v>
      </c>
      <c r="P222" s="18"/>
    </row>
    <row r="223" spans="1:16" ht="17" thickBot="1" x14ac:dyDescent="0.25">
      <c r="A223" s="35" t="s">
        <v>228</v>
      </c>
      <c r="B223" s="36">
        <v>201</v>
      </c>
      <c r="C223" s="54">
        <v>0</v>
      </c>
      <c r="D223" s="48">
        <v>0.03</v>
      </c>
      <c r="E223" s="53">
        <v>0.6</v>
      </c>
      <c r="F223" s="53">
        <v>0.55000000000000004</v>
      </c>
      <c r="G223" s="50">
        <v>4.74</v>
      </c>
      <c r="H223" s="68">
        <v>0</v>
      </c>
      <c r="I223" s="78">
        <v>-0.06</v>
      </c>
      <c r="J223" s="79"/>
      <c r="K223" s="8">
        <v>2.36</v>
      </c>
      <c r="L223" s="10">
        <v>1.1399999999999999</v>
      </c>
      <c r="M223" s="10">
        <v>1.0900000000000001</v>
      </c>
      <c r="N223" s="10">
        <v>15.05</v>
      </c>
      <c r="O223" s="14">
        <v>0.60069444444444442</v>
      </c>
      <c r="P223" s="18"/>
    </row>
    <row r="224" spans="1:16" ht="17" thickBot="1" x14ac:dyDescent="0.25">
      <c r="A224" s="35" t="s">
        <v>229</v>
      </c>
      <c r="B224" s="36">
        <v>2829</v>
      </c>
      <c r="C224" s="54">
        <v>1.36</v>
      </c>
      <c r="D224" s="48">
        <v>0.28999999999999998</v>
      </c>
      <c r="E224" s="53">
        <v>5.36</v>
      </c>
      <c r="F224" s="53">
        <v>5.56</v>
      </c>
      <c r="G224" s="50">
        <v>31.14</v>
      </c>
      <c r="H224" s="68">
        <v>0</v>
      </c>
      <c r="I224" s="69"/>
      <c r="J224" s="70"/>
      <c r="K224" s="8">
        <v>0.03</v>
      </c>
      <c r="L224" s="10">
        <v>0.6</v>
      </c>
      <c r="M224" s="10">
        <v>0.55000000000000004</v>
      </c>
      <c r="N224" s="10">
        <v>4.74</v>
      </c>
      <c r="O224" s="14">
        <v>0.60138888888888886</v>
      </c>
      <c r="P224" s="18"/>
    </row>
    <row r="225" spans="1:16" ht="17" thickBot="1" x14ac:dyDescent="0.25">
      <c r="A225" s="35" t="s">
        <v>230</v>
      </c>
      <c r="B225" s="36">
        <v>42.6</v>
      </c>
      <c r="C225" s="54">
        <v>0.95</v>
      </c>
      <c r="D225" s="48">
        <v>0.54</v>
      </c>
      <c r="E225" s="53">
        <v>3.4</v>
      </c>
      <c r="F225" s="53">
        <v>4.93</v>
      </c>
      <c r="G225" s="50">
        <v>193.79</v>
      </c>
      <c r="H225" s="68">
        <v>0</v>
      </c>
      <c r="I225" s="69">
        <v>1.36</v>
      </c>
      <c r="J225" s="70"/>
      <c r="K225" s="8">
        <v>0.28999999999999998</v>
      </c>
      <c r="L225" s="10">
        <v>5.36</v>
      </c>
      <c r="M225" s="10">
        <v>5.56</v>
      </c>
      <c r="N225" s="10">
        <v>31.14</v>
      </c>
      <c r="O225" s="14">
        <v>0.60138888888888886</v>
      </c>
      <c r="P225" s="18"/>
    </row>
    <row r="226" spans="1:16" ht="17" thickBot="1" x14ac:dyDescent="0.25">
      <c r="A226" s="35" t="s">
        <v>231</v>
      </c>
      <c r="B226" s="36">
        <v>6080</v>
      </c>
      <c r="C226" s="54">
        <v>0.43</v>
      </c>
      <c r="D226" s="48">
        <v>3.5</v>
      </c>
      <c r="E226" s="53">
        <v>1.84</v>
      </c>
      <c r="F226" s="53">
        <v>8.4600000000000009</v>
      </c>
      <c r="G226" s="50">
        <v>9.2200000000000006</v>
      </c>
      <c r="H226" s="51">
        <v>1082379</v>
      </c>
      <c r="I226" s="69">
        <v>0.95</v>
      </c>
      <c r="J226" s="70"/>
      <c r="K226" s="8">
        <v>0.54</v>
      </c>
      <c r="L226" s="10">
        <v>3.4</v>
      </c>
      <c r="M226" s="10">
        <v>4.93</v>
      </c>
      <c r="N226" s="10">
        <v>193.79</v>
      </c>
      <c r="O226" s="14">
        <v>0.60138888888888886</v>
      </c>
      <c r="P226" s="18"/>
    </row>
    <row r="227" spans="1:16" ht="17" thickBot="1" x14ac:dyDescent="0.25">
      <c r="A227" s="35" t="s">
        <v>232</v>
      </c>
      <c r="B227" s="36">
        <v>1722</v>
      </c>
      <c r="C227" s="47">
        <v>-0.23</v>
      </c>
      <c r="D227" s="48">
        <v>0.35</v>
      </c>
      <c r="E227" s="49">
        <v>-1.0900000000000001</v>
      </c>
      <c r="F227" s="49">
        <v>-5.18</v>
      </c>
      <c r="G227" s="50">
        <v>27.78</v>
      </c>
      <c r="H227" s="68">
        <v>0</v>
      </c>
      <c r="I227" s="69">
        <v>0.43</v>
      </c>
      <c r="J227" s="70"/>
      <c r="K227" s="8">
        <v>3.5</v>
      </c>
      <c r="L227" s="10">
        <v>1.84</v>
      </c>
      <c r="M227" s="10">
        <v>8.4600000000000009</v>
      </c>
      <c r="N227" s="10">
        <v>9.2200000000000006</v>
      </c>
      <c r="O227" s="14">
        <v>0.60138888888888886</v>
      </c>
      <c r="P227" s="18"/>
    </row>
    <row r="228" spans="1:16" ht="17" thickBot="1" x14ac:dyDescent="0.25">
      <c r="A228" s="35" t="s">
        <v>233</v>
      </c>
      <c r="B228" s="36">
        <v>486.6</v>
      </c>
      <c r="C228" s="54">
        <v>0</v>
      </c>
      <c r="D228" s="48">
        <v>0</v>
      </c>
      <c r="E228" s="53">
        <v>0.7</v>
      </c>
      <c r="F228" s="49">
        <v>-17.86</v>
      </c>
      <c r="G228" s="55">
        <v>-25.18</v>
      </c>
      <c r="H228" s="68">
        <v>0</v>
      </c>
      <c r="I228" s="78">
        <v>-0.23</v>
      </c>
      <c r="J228" s="79"/>
      <c r="K228" s="8">
        <v>0.35</v>
      </c>
      <c r="L228" s="9">
        <v>-1.0900000000000001</v>
      </c>
      <c r="M228" s="9">
        <v>-5.18</v>
      </c>
      <c r="N228" s="10">
        <v>27.78</v>
      </c>
      <c r="O228" s="14">
        <v>0.60138888888888886</v>
      </c>
      <c r="P228" s="18"/>
    </row>
    <row r="229" spans="1:16" ht="17" thickBot="1" x14ac:dyDescent="0.25">
      <c r="A229" s="35" t="s">
        <v>234</v>
      </c>
      <c r="B229" s="36">
        <v>3338</v>
      </c>
      <c r="C229" s="54">
        <v>0.85</v>
      </c>
      <c r="D229" s="48">
        <v>0.04</v>
      </c>
      <c r="E229" s="49">
        <v>-1.42</v>
      </c>
      <c r="F229" s="49">
        <v>-4.1100000000000003</v>
      </c>
      <c r="G229" s="55">
        <v>-0.08</v>
      </c>
      <c r="H229" s="68">
        <v>0</v>
      </c>
      <c r="I229" s="69"/>
      <c r="J229" s="70"/>
      <c r="K229" s="8">
        <v>0</v>
      </c>
      <c r="L229" s="10">
        <v>0.7</v>
      </c>
      <c r="M229" s="9">
        <v>-17.86</v>
      </c>
      <c r="N229" s="9">
        <v>-25.18</v>
      </c>
      <c r="O229" s="14">
        <v>0.60069444444444442</v>
      </c>
      <c r="P229" s="18"/>
    </row>
    <row r="230" spans="1:16" ht="17" thickBot="1" x14ac:dyDescent="0.25">
      <c r="A230" s="35" t="s">
        <v>235</v>
      </c>
      <c r="B230" s="36">
        <v>2702</v>
      </c>
      <c r="C230" s="54">
        <v>7.0000000000000007E-2</v>
      </c>
      <c r="D230" s="48">
        <v>0.04</v>
      </c>
      <c r="E230" s="49">
        <v>-4.18</v>
      </c>
      <c r="F230" s="49">
        <v>-6.7</v>
      </c>
      <c r="G230" s="50">
        <v>1.7</v>
      </c>
      <c r="H230" s="68">
        <v>0</v>
      </c>
      <c r="I230" s="69">
        <v>0.85</v>
      </c>
      <c r="J230" s="70"/>
      <c r="K230" s="8">
        <v>0.04</v>
      </c>
      <c r="L230" s="9">
        <v>-1.42</v>
      </c>
      <c r="M230" s="9">
        <v>-4.1100000000000003</v>
      </c>
      <c r="N230" s="9">
        <v>-0.08</v>
      </c>
      <c r="O230" s="14">
        <v>0.60138888888888886</v>
      </c>
      <c r="P230" s="18"/>
    </row>
    <row r="231" spans="1:16" ht="17" thickBot="1" x14ac:dyDescent="0.25">
      <c r="A231" s="35" t="s">
        <v>236</v>
      </c>
      <c r="B231" s="36">
        <v>2017</v>
      </c>
      <c r="C231" s="54">
        <v>2.44</v>
      </c>
      <c r="D231" s="48">
        <v>0.19</v>
      </c>
      <c r="E231" s="53">
        <v>0.25</v>
      </c>
      <c r="F231" s="49">
        <v>-1.37</v>
      </c>
      <c r="G231" s="50">
        <v>29.88</v>
      </c>
      <c r="H231" s="68">
        <v>0</v>
      </c>
      <c r="I231" s="69">
        <v>7.0000000000000007E-2</v>
      </c>
      <c r="J231" s="70"/>
      <c r="K231" s="8">
        <v>0.04</v>
      </c>
      <c r="L231" s="9">
        <v>-4.18</v>
      </c>
      <c r="M231" s="9">
        <v>-6.7</v>
      </c>
      <c r="N231" s="10">
        <v>1.7</v>
      </c>
      <c r="O231" s="14">
        <v>0.60138888888888886</v>
      </c>
      <c r="P231" s="18"/>
    </row>
    <row r="232" spans="1:16" ht="17" thickBot="1" x14ac:dyDescent="0.25">
      <c r="A232" s="35" t="s">
        <v>237</v>
      </c>
      <c r="B232" s="36">
        <v>852</v>
      </c>
      <c r="C232" s="54">
        <v>1.97</v>
      </c>
      <c r="D232" s="48">
        <v>0.04</v>
      </c>
      <c r="E232" s="49">
        <v>-5.26</v>
      </c>
      <c r="F232" s="49">
        <v>-2.44</v>
      </c>
      <c r="G232" s="50">
        <v>26.79</v>
      </c>
      <c r="H232" s="68">
        <v>0</v>
      </c>
      <c r="I232" s="69">
        <v>2.44</v>
      </c>
      <c r="J232" s="70"/>
      <c r="K232" s="8">
        <v>0.19</v>
      </c>
      <c r="L232" s="10">
        <v>0.25</v>
      </c>
      <c r="M232" s="9">
        <v>-1.37</v>
      </c>
      <c r="N232" s="10">
        <v>29.88</v>
      </c>
      <c r="O232" s="14">
        <v>0.60069444444444442</v>
      </c>
      <c r="P232" s="18"/>
    </row>
    <row r="233" spans="1:16" ht="17" thickBot="1" x14ac:dyDescent="0.25">
      <c r="A233" s="35" t="s">
        <v>238</v>
      </c>
      <c r="B233" s="36">
        <v>157.30000000000001</v>
      </c>
      <c r="C233" s="54">
        <v>0</v>
      </c>
      <c r="D233" s="48">
        <v>0</v>
      </c>
      <c r="E233" s="53">
        <v>0</v>
      </c>
      <c r="F233" s="53">
        <v>0</v>
      </c>
      <c r="G233" s="55">
        <v>-4.55</v>
      </c>
      <c r="H233" s="68">
        <v>0</v>
      </c>
      <c r="I233" s="69">
        <v>1.97</v>
      </c>
      <c r="J233" s="70"/>
      <c r="K233" s="8">
        <v>0.04</v>
      </c>
      <c r="L233" s="9">
        <v>-5.26</v>
      </c>
      <c r="M233" s="9">
        <v>-2.44</v>
      </c>
      <c r="N233" s="10">
        <v>26.79</v>
      </c>
      <c r="O233" s="14">
        <v>0.60069444444444442</v>
      </c>
      <c r="P233" s="18"/>
    </row>
    <row r="234" spans="1:16" ht="17" customHeight="1" thickBot="1" x14ac:dyDescent="0.25">
      <c r="A234" s="35" t="s">
        <v>239</v>
      </c>
      <c r="B234" s="36">
        <v>4813</v>
      </c>
      <c r="C234" s="47">
        <v>-1.03</v>
      </c>
      <c r="D234" s="48">
        <v>0.45</v>
      </c>
      <c r="E234" s="49">
        <v>-1.84</v>
      </c>
      <c r="F234" s="49">
        <v>-3</v>
      </c>
      <c r="G234" s="50">
        <v>16.23</v>
      </c>
      <c r="H234" s="68">
        <v>0</v>
      </c>
      <c r="I234" s="69"/>
      <c r="J234" s="70"/>
      <c r="K234" s="8">
        <v>0</v>
      </c>
      <c r="L234" s="10">
        <v>0</v>
      </c>
      <c r="M234" s="10">
        <v>0</v>
      </c>
      <c r="N234" s="9">
        <v>-4.55</v>
      </c>
      <c r="O234" s="14">
        <v>0.60138888888888886</v>
      </c>
      <c r="P234" s="18"/>
    </row>
    <row r="235" spans="1:16" ht="17" thickBot="1" x14ac:dyDescent="0.25">
      <c r="A235" s="35" t="s">
        <v>240</v>
      </c>
      <c r="B235" s="36">
        <v>1777</v>
      </c>
      <c r="C235" s="47">
        <v>-1.28</v>
      </c>
      <c r="D235" s="48">
        <v>1.79</v>
      </c>
      <c r="E235" s="53">
        <v>0.51</v>
      </c>
      <c r="F235" s="53">
        <v>3.68</v>
      </c>
      <c r="G235" s="50">
        <v>3.37</v>
      </c>
      <c r="H235" s="68">
        <v>0</v>
      </c>
      <c r="I235" s="78">
        <v>-1.03</v>
      </c>
      <c r="J235" s="79"/>
      <c r="K235" s="8">
        <v>0.45</v>
      </c>
      <c r="L235" s="9">
        <v>-1.84</v>
      </c>
      <c r="M235" s="9">
        <v>-3</v>
      </c>
      <c r="N235" s="10">
        <v>16.23</v>
      </c>
      <c r="O235" s="14">
        <v>0.60138888888888886</v>
      </c>
      <c r="P235" s="18"/>
    </row>
    <row r="236" spans="1:16" ht="17" thickBot="1" x14ac:dyDescent="0.25">
      <c r="A236" s="35" t="s">
        <v>241</v>
      </c>
      <c r="B236" s="36">
        <v>330.9</v>
      </c>
      <c r="C236" s="54">
        <v>0</v>
      </c>
      <c r="D236" s="48">
        <v>0</v>
      </c>
      <c r="E236" s="53">
        <v>0</v>
      </c>
      <c r="F236" s="53">
        <v>0</v>
      </c>
      <c r="G236" s="50">
        <v>42.26</v>
      </c>
      <c r="H236" s="68">
        <v>0</v>
      </c>
      <c r="I236" s="78">
        <v>-1.28</v>
      </c>
      <c r="J236" s="79"/>
      <c r="K236" s="8">
        <v>1.79</v>
      </c>
      <c r="L236" s="10">
        <v>0.51</v>
      </c>
      <c r="M236" s="10">
        <v>3.68</v>
      </c>
      <c r="N236" s="10">
        <v>3.37</v>
      </c>
      <c r="O236" s="14">
        <v>0.60138888888888886</v>
      </c>
      <c r="P236" s="18"/>
    </row>
    <row r="237" spans="1:16" ht="17" thickBot="1" x14ac:dyDescent="0.25">
      <c r="A237" s="35" t="s">
        <v>242</v>
      </c>
      <c r="B237" s="36">
        <v>47.9</v>
      </c>
      <c r="C237" s="54">
        <v>0</v>
      </c>
      <c r="D237" s="48">
        <v>0</v>
      </c>
      <c r="E237" s="53">
        <v>2.35</v>
      </c>
      <c r="F237" s="49">
        <v>-1.84</v>
      </c>
      <c r="G237" s="55">
        <v>-4.2</v>
      </c>
      <c r="H237" s="68">
        <v>0</v>
      </c>
      <c r="I237" s="69"/>
      <c r="J237" s="70"/>
      <c r="K237" s="8">
        <v>0</v>
      </c>
      <c r="L237" s="10">
        <v>0</v>
      </c>
      <c r="M237" s="10">
        <v>0</v>
      </c>
      <c r="N237" s="10">
        <v>42.26</v>
      </c>
      <c r="O237" s="14">
        <v>0.60138888888888886</v>
      </c>
      <c r="P237" s="18"/>
    </row>
    <row r="238" spans="1:16" ht="17" customHeight="1" thickBot="1" x14ac:dyDescent="0.25">
      <c r="A238" s="35" t="s">
        <v>243</v>
      </c>
      <c r="B238" s="36">
        <v>168</v>
      </c>
      <c r="C238" s="54">
        <v>0</v>
      </c>
      <c r="D238" s="48">
        <v>0</v>
      </c>
      <c r="E238" s="53">
        <v>0</v>
      </c>
      <c r="F238" s="53">
        <v>0.6</v>
      </c>
      <c r="G238" s="50">
        <v>2.2200000000000002</v>
      </c>
      <c r="H238" s="68">
        <v>0</v>
      </c>
      <c r="I238" s="69"/>
      <c r="J238" s="70"/>
      <c r="K238" s="8">
        <v>0</v>
      </c>
      <c r="L238" s="10">
        <v>2.35</v>
      </c>
      <c r="M238" s="9">
        <v>-1.84</v>
      </c>
      <c r="N238" s="9">
        <v>-4.2</v>
      </c>
      <c r="O238" s="14">
        <v>0.60138888888888886</v>
      </c>
      <c r="P238" s="18"/>
    </row>
    <row r="239" spans="1:16" ht="17" thickBot="1" x14ac:dyDescent="0.25">
      <c r="A239" s="35" t="s">
        <v>244</v>
      </c>
      <c r="B239" s="36">
        <v>3233</v>
      </c>
      <c r="C239" s="54">
        <v>0.34</v>
      </c>
      <c r="D239" s="48">
        <v>0.3</v>
      </c>
      <c r="E239" s="53">
        <v>1.44</v>
      </c>
      <c r="F239" s="53">
        <v>8.1300000000000008</v>
      </c>
      <c r="G239" s="50">
        <v>37.46</v>
      </c>
      <c r="H239" s="68">
        <v>0</v>
      </c>
      <c r="I239" s="69"/>
      <c r="J239" s="70"/>
      <c r="K239" s="8">
        <v>0</v>
      </c>
      <c r="L239" s="10">
        <v>0</v>
      </c>
      <c r="M239" s="10">
        <v>0.6</v>
      </c>
      <c r="N239" s="10">
        <v>2.2200000000000002</v>
      </c>
      <c r="O239" s="14">
        <v>0.60069444444444442</v>
      </c>
      <c r="P239" s="18"/>
    </row>
    <row r="240" spans="1:16" ht="17" thickBot="1" x14ac:dyDescent="0.25">
      <c r="A240" s="35" t="s">
        <v>245</v>
      </c>
      <c r="B240" s="36">
        <v>1910</v>
      </c>
      <c r="C240" s="47">
        <v>-0.31</v>
      </c>
      <c r="D240" s="48">
        <v>0.06</v>
      </c>
      <c r="E240" s="49">
        <v>-2.65</v>
      </c>
      <c r="F240" s="49">
        <v>-8.66</v>
      </c>
      <c r="G240" s="50">
        <v>10.6</v>
      </c>
      <c r="H240" s="68">
        <v>0</v>
      </c>
      <c r="I240" s="69">
        <v>0.34</v>
      </c>
      <c r="J240" s="70"/>
      <c r="K240" s="8">
        <v>0.3</v>
      </c>
      <c r="L240" s="10">
        <v>1.44</v>
      </c>
      <c r="M240" s="10">
        <v>8.1300000000000008</v>
      </c>
      <c r="N240" s="10">
        <v>37.46</v>
      </c>
      <c r="O240" s="14">
        <v>0.60138888888888886</v>
      </c>
      <c r="P240" s="18"/>
    </row>
    <row r="241" spans="1:16" ht="17" thickBot="1" x14ac:dyDescent="0.25">
      <c r="A241" s="35" t="s">
        <v>246</v>
      </c>
      <c r="B241" s="36">
        <v>470.1</v>
      </c>
      <c r="C241" s="47">
        <v>-1.82</v>
      </c>
      <c r="D241" s="48">
        <v>0.04</v>
      </c>
      <c r="E241" s="49">
        <v>-1.47</v>
      </c>
      <c r="F241" s="49">
        <v>-4.47</v>
      </c>
      <c r="G241" s="55">
        <v>-43.53</v>
      </c>
      <c r="H241" s="68">
        <v>0</v>
      </c>
      <c r="I241" s="78">
        <v>-0.31</v>
      </c>
      <c r="J241" s="79"/>
      <c r="K241" s="8">
        <v>0.06</v>
      </c>
      <c r="L241" s="9">
        <v>-2.65</v>
      </c>
      <c r="M241" s="9">
        <v>-8.66</v>
      </c>
      <c r="N241" s="10">
        <v>10.6</v>
      </c>
      <c r="O241" s="14">
        <v>0.60138888888888886</v>
      </c>
      <c r="P241" s="18"/>
    </row>
    <row r="242" spans="1:16" ht="17" thickBot="1" x14ac:dyDescent="0.25">
      <c r="A242" s="35" t="s">
        <v>247</v>
      </c>
      <c r="B242" s="36">
        <v>22.2</v>
      </c>
      <c r="C242" s="47">
        <v>-3.06</v>
      </c>
      <c r="D242" s="48">
        <v>0.01</v>
      </c>
      <c r="E242" s="49">
        <v>-5.93</v>
      </c>
      <c r="F242" s="49">
        <v>-10.48</v>
      </c>
      <c r="G242" s="55">
        <v>-50.19</v>
      </c>
      <c r="H242" s="68">
        <v>0</v>
      </c>
      <c r="I242" s="78">
        <v>-1.82</v>
      </c>
      <c r="J242" s="79"/>
      <c r="K242" s="8">
        <v>0.04</v>
      </c>
      <c r="L242" s="9">
        <v>-1.47</v>
      </c>
      <c r="M242" s="9">
        <v>-4.47</v>
      </c>
      <c r="N242" s="9">
        <v>-43.53</v>
      </c>
      <c r="O242" s="14">
        <v>0.60069444444444442</v>
      </c>
      <c r="P242" s="18"/>
    </row>
    <row r="243" spans="1:16" ht="17" thickBot="1" x14ac:dyDescent="0.25">
      <c r="A243" s="35" t="s">
        <v>248</v>
      </c>
      <c r="B243" s="36">
        <v>700</v>
      </c>
      <c r="C243" s="54">
        <v>0</v>
      </c>
      <c r="D243" s="48">
        <v>0</v>
      </c>
      <c r="E243" s="53">
        <v>6.22</v>
      </c>
      <c r="F243" s="53">
        <v>2.34</v>
      </c>
      <c r="G243" s="50">
        <v>28.25</v>
      </c>
      <c r="H243" s="68">
        <v>0</v>
      </c>
      <c r="I243" s="78">
        <v>-3.06</v>
      </c>
      <c r="J243" s="79"/>
      <c r="K243" s="8">
        <v>0.01</v>
      </c>
      <c r="L243" s="9">
        <v>-5.93</v>
      </c>
      <c r="M243" s="9">
        <v>-10.48</v>
      </c>
      <c r="N243" s="9">
        <v>-50.19</v>
      </c>
      <c r="O243" s="14">
        <v>0.60138888888888886</v>
      </c>
      <c r="P243" s="18"/>
    </row>
    <row r="244" spans="1:16" ht="17" thickBot="1" x14ac:dyDescent="0.25">
      <c r="A244" s="35" t="s">
        <v>249</v>
      </c>
      <c r="B244" s="36">
        <v>302.39999999999998</v>
      </c>
      <c r="C244" s="47">
        <v>-3.08</v>
      </c>
      <c r="D244" s="48">
        <v>0</v>
      </c>
      <c r="E244" s="49">
        <v>-1.59</v>
      </c>
      <c r="F244" s="53">
        <v>1.78</v>
      </c>
      <c r="G244" s="50">
        <v>25.13</v>
      </c>
      <c r="H244" s="68">
        <v>0</v>
      </c>
      <c r="I244" s="69"/>
      <c r="J244" s="70"/>
      <c r="K244" s="8">
        <v>0</v>
      </c>
      <c r="L244" s="10">
        <v>6.22</v>
      </c>
      <c r="M244" s="10">
        <v>2.34</v>
      </c>
      <c r="N244" s="10">
        <v>28.25</v>
      </c>
      <c r="O244" s="14">
        <v>0.60069444444444442</v>
      </c>
      <c r="P244" s="18"/>
    </row>
    <row r="245" spans="1:16" ht="17" thickBot="1" x14ac:dyDescent="0.25">
      <c r="A245" s="35" t="s">
        <v>250</v>
      </c>
      <c r="B245" s="36">
        <v>77600</v>
      </c>
      <c r="C245" s="47">
        <v>-0.77</v>
      </c>
      <c r="D245" s="48">
        <v>5.92</v>
      </c>
      <c r="E245" s="49">
        <v>-0.98</v>
      </c>
      <c r="F245" s="49">
        <v>-0.44</v>
      </c>
      <c r="G245" s="50">
        <v>2.64</v>
      </c>
      <c r="H245" s="68">
        <v>0</v>
      </c>
      <c r="I245" s="78">
        <v>-3.08</v>
      </c>
      <c r="J245" s="79"/>
      <c r="K245" s="8">
        <v>0</v>
      </c>
      <c r="L245" s="9">
        <v>-1.59</v>
      </c>
      <c r="M245" s="10">
        <v>1.78</v>
      </c>
      <c r="N245" s="10">
        <v>25.13</v>
      </c>
      <c r="O245" s="14">
        <v>0.60069444444444442</v>
      </c>
      <c r="P245" s="18"/>
    </row>
    <row r="246" spans="1:16" ht="17" thickBot="1" x14ac:dyDescent="0.25">
      <c r="A246" s="35" t="s">
        <v>251</v>
      </c>
      <c r="B246" s="36">
        <v>1314</v>
      </c>
      <c r="C246" s="54">
        <v>0</v>
      </c>
      <c r="D246" s="48">
        <v>0</v>
      </c>
      <c r="E246" s="49">
        <v>-0.3</v>
      </c>
      <c r="F246" s="49">
        <v>-0.38</v>
      </c>
      <c r="G246" s="50">
        <v>23.65</v>
      </c>
      <c r="H246" s="68">
        <v>0</v>
      </c>
      <c r="I246" s="78">
        <v>-0.77</v>
      </c>
      <c r="J246" s="79"/>
      <c r="K246" s="8">
        <v>5.92</v>
      </c>
      <c r="L246" s="9">
        <v>-0.98</v>
      </c>
      <c r="M246" s="9">
        <v>-0.44</v>
      </c>
      <c r="N246" s="10">
        <v>2.64</v>
      </c>
      <c r="O246" s="14">
        <v>0.60069444444444442</v>
      </c>
      <c r="P246" s="18"/>
    </row>
    <row r="247" spans="1:16" ht="17" customHeight="1" thickBot="1" x14ac:dyDescent="0.25">
      <c r="A247" s="35" t="s">
        <v>252</v>
      </c>
      <c r="B247" s="36">
        <v>4608</v>
      </c>
      <c r="C247" s="47">
        <v>-0.26</v>
      </c>
      <c r="D247" s="48">
        <v>0.86</v>
      </c>
      <c r="E247" s="53">
        <v>3.09</v>
      </c>
      <c r="F247" s="53">
        <v>4.1399999999999997</v>
      </c>
      <c r="G247" s="50">
        <v>18.239999999999998</v>
      </c>
      <c r="H247" s="68">
        <v>0</v>
      </c>
      <c r="I247" s="69"/>
      <c r="J247" s="70"/>
      <c r="K247" s="8">
        <v>0</v>
      </c>
      <c r="L247" s="9">
        <v>-0.3</v>
      </c>
      <c r="M247" s="9">
        <v>-0.38</v>
      </c>
      <c r="N247" s="10">
        <v>23.65</v>
      </c>
      <c r="O247" s="14">
        <v>0.60069444444444442</v>
      </c>
      <c r="P247" s="18"/>
    </row>
    <row r="248" spans="1:16" ht="17" thickBot="1" x14ac:dyDescent="0.25">
      <c r="A248" s="35" t="s">
        <v>253</v>
      </c>
      <c r="B248" s="36">
        <v>5995</v>
      </c>
      <c r="C248" s="54">
        <v>0.54</v>
      </c>
      <c r="D248" s="48">
        <v>2.2799999999999998</v>
      </c>
      <c r="E248" s="53">
        <v>0.82</v>
      </c>
      <c r="F248" s="53">
        <v>0.98</v>
      </c>
      <c r="G248" s="50">
        <v>25.02</v>
      </c>
      <c r="H248" s="68">
        <v>0</v>
      </c>
      <c r="I248" s="78">
        <v>-0.26</v>
      </c>
      <c r="J248" s="79"/>
      <c r="K248" s="8">
        <v>0.86</v>
      </c>
      <c r="L248" s="10">
        <v>3.09</v>
      </c>
      <c r="M248" s="10">
        <v>4.1399999999999997</v>
      </c>
      <c r="N248" s="10">
        <v>18.239999999999998</v>
      </c>
      <c r="O248" s="14">
        <v>0.60138888888888886</v>
      </c>
      <c r="P248" s="18"/>
    </row>
    <row r="249" spans="1:16" ht="17" thickBot="1" x14ac:dyDescent="0.25">
      <c r="A249" s="35" t="s">
        <v>254</v>
      </c>
      <c r="B249" s="36">
        <v>2527</v>
      </c>
      <c r="C249" s="47">
        <v>-0.59</v>
      </c>
      <c r="D249" s="48">
        <v>0.01</v>
      </c>
      <c r="E249" s="49">
        <v>-1.48</v>
      </c>
      <c r="F249" s="49">
        <v>-2.39</v>
      </c>
      <c r="G249" s="50">
        <v>54.42</v>
      </c>
      <c r="H249" s="68">
        <v>0</v>
      </c>
      <c r="I249" s="69">
        <v>0.54</v>
      </c>
      <c r="J249" s="70"/>
      <c r="K249" s="8">
        <v>2.2799999999999998</v>
      </c>
      <c r="L249" s="10">
        <v>0.82</v>
      </c>
      <c r="M249" s="10">
        <v>0.98</v>
      </c>
      <c r="N249" s="10">
        <v>25.02</v>
      </c>
      <c r="O249" s="14">
        <v>0.60069444444444442</v>
      </c>
      <c r="P249" s="18"/>
    </row>
    <row r="250" spans="1:16" ht="17" thickBot="1" x14ac:dyDescent="0.25">
      <c r="A250" s="35" t="s">
        <v>255</v>
      </c>
      <c r="B250" s="36">
        <v>853.5</v>
      </c>
      <c r="C250" s="47">
        <v>-2.75</v>
      </c>
      <c r="D250" s="48">
        <v>0.41</v>
      </c>
      <c r="E250" s="53">
        <v>6.66</v>
      </c>
      <c r="F250" s="49">
        <v>-4.6399999999999997</v>
      </c>
      <c r="G250" s="50">
        <v>79.8</v>
      </c>
      <c r="H250" s="68">
        <v>0</v>
      </c>
      <c r="I250" s="78">
        <v>-0.59</v>
      </c>
      <c r="J250" s="79"/>
      <c r="K250" s="8">
        <v>0.01</v>
      </c>
      <c r="L250" s="9">
        <v>-1.48</v>
      </c>
      <c r="M250" s="9">
        <v>-2.39</v>
      </c>
      <c r="N250" s="10">
        <v>54.42</v>
      </c>
      <c r="O250" s="14">
        <v>0.60069444444444442</v>
      </c>
      <c r="P250" s="18"/>
    </row>
    <row r="251" spans="1:16" ht="17" thickBot="1" x14ac:dyDescent="0.25">
      <c r="A251" s="35" t="s">
        <v>256</v>
      </c>
      <c r="B251" s="36">
        <v>2287</v>
      </c>
      <c r="C251" s="47">
        <v>-0.31</v>
      </c>
      <c r="D251" s="48">
        <v>0.05</v>
      </c>
      <c r="E251" s="49">
        <v>-1.34</v>
      </c>
      <c r="F251" s="49">
        <v>-4.83</v>
      </c>
      <c r="G251" s="55">
        <v>-6.46</v>
      </c>
      <c r="H251" s="68">
        <v>0</v>
      </c>
      <c r="I251" s="78">
        <v>-2.75</v>
      </c>
      <c r="J251" s="79"/>
      <c r="K251" s="8">
        <v>0.41</v>
      </c>
      <c r="L251" s="10">
        <v>6.66</v>
      </c>
      <c r="M251" s="9">
        <v>-4.6399999999999997</v>
      </c>
      <c r="N251" s="10">
        <v>79.8</v>
      </c>
      <c r="O251" s="14">
        <v>0.60069444444444442</v>
      </c>
      <c r="P251" s="18"/>
    </row>
    <row r="252" spans="1:16" ht="17" thickBot="1" x14ac:dyDescent="0.25">
      <c r="A252" s="35" t="s">
        <v>257</v>
      </c>
      <c r="B252" s="36">
        <v>2198</v>
      </c>
      <c r="C252" s="54">
        <v>3.73</v>
      </c>
      <c r="D252" s="48">
        <v>0.02</v>
      </c>
      <c r="E252" s="53">
        <v>4.92</v>
      </c>
      <c r="F252" s="49">
        <v>-12.04</v>
      </c>
      <c r="G252" s="55">
        <v>-33.72</v>
      </c>
      <c r="H252" s="68">
        <v>0</v>
      </c>
      <c r="I252" s="78">
        <v>-0.31</v>
      </c>
      <c r="J252" s="79"/>
      <c r="K252" s="8">
        <v>0.05</v>
      </c>
      <c r="L252" s="9">
        <v>-1.34</v>
      </c>
      <c r="M252" s="9">
        <v>-4.83</v>
      </c>
      <c r="N252" s="9">
        <v>-6.46</v>
      </c>
      <c r="O252" s="14">
        <v>0.60138888888888886</v>
      </c>
      <c r="P252" s="18"/>
    </row>
    <row r="253" spans="1:16" ht="17" thickBot="1" x14ac:dyDescent="0.25">
      <c r="A253" s="35" t="s">
        <v>258</v>
      </c>
      <c r="B253" s="36">
        <v>18</v>
      </c>
      <c r="C253" s="54">
        <v>1.69</v>
      </c>
      <c r="D253" s="48">
        <v>0.03</v>
      </c>
      <c r="E253" s="53">
        <v>2.27</v>
      </c>
      <c r="F253" s="49">
        <v>-7.22</v>
      </c>
      <c r="G253" s="55">
        <v>-38.979999999999997</v>
      </c>
      <c r="H253" s="68">
        <v>0</v>
      </c>
      <c r="I253" s="69">
        <v>3.73</v>
      </c>
      <c r="J253" s="70"/>
      <c r="K253" s="8">
        <v>0.02</v>
      </c>
      <c r="L253" s="10">
        <v>4.92</v>
      </c>
      <c r="M253" s="9">
        <v>-12.04</v>
      </c>
      <c r="N253" s="9">
        <v>-33.72</v>
      </c>
      <c r="O253" s="14">
        <v>0.60138888888888886</v>
      </c>
      <c r="P253" s="18"/>
    </row>
    <row r="254" spans="1:16" ht="17" thickBot="1" x14ac:dyDescent="0.25">
      <c r="A254" s="35" t="s">
        <v>259</v>
      </c>
      <c r="B254" s="36">
        <v>4414</v>
      </c>
      <c r="C254" s="54">
        <v>0.32</v>
      </c>
      <c r="D254" s="48">
        <v>0.11</v>
      </c>
      <c r="E254" s="49">
        <v>-1.1399999999999999</v>
      </c>
      <c r="F254" s="49">
        <v>-5.3</v>
      </c>
      <c r="G254" s="50">
        <v>37.89</v>
      </c>
      <c r="H254" s="68">
        <v>0</v>
      </c>
      <c r="I254" s="69">
        <v>1.69</v>
      </c>
      <c r="J254" s="70"/>
      <c r="K254" s="8">
        <v>0.03</v>
      </c>
      <c r="L254" s="10">
        <v>2.27</v>
      </c>
      <c r="M254" s="9">
        <v>-7.22</v>
      </c>
      <c r="N254" s="9">
        <v>-38.979999999999997</v>
      </c>
      <c r="O254" s="14">
        <v>0.60486111111111118</v>
      </c>
      <c r="P254" s="18"/>
    </row>
    <row r="255" spans="1:16" ht="17" thickBot="1" x14ac:dyDescent="0.25">
      <c r="A255" s="35" t="s">
        <v>260</v>
      </c>
      <c r="B255" s="36">
        <v>6052</v>
      </c>
      <c r="C255" s="47">
        <v>-0.85</v>
      </c>
      <c r="D255" s="48">
        <v>0.17</v>
      </c>
      <c r="E255" s="49">
        <v>-1.21</v>
      </c>
      <c r="F255" s="49">
        <v>-2.0699999999999998</v>
      </c>
      <c r="G255" s="50">
        <v>10.029999999999999</v>
      </c>
      <c r="H255" s="68">
        <v>0</v>
      </c>
      <c r="I255" s="69">
        <v>0.32</v>
      </c>
      <c r="J255" s="70"/>
      <c r="K255" s="8">
        <v>0.11</v>
      </c>
      <c r="L255" s="9">
        <v>-1.1399999999999999</v>
      </c>
      <c r="M255" s="9">
        <v>-5.3</v>
      </c>
      <c r="N255" s="10">
        <v>37.89</v>
      </c>
      <c r="O255" s="14">
        <v>0.60069444444444442</v>
      </c>
      <c r="P255" s="18"/>
    </row>
    <row r="256" spans="1:16" ht="17" thickBot="1" x14ac:dyDescent="0.25">
      <c r="A256" s="35" t="s">
        <v>261</v>
      </c>
      <c r="B256" s="36">
        <v>5228</v>
      </c>
      <c r="C256" s="54">
        <v>1.1000000000000001</v>
      </c>
      <c r="D256" s="48">
        <v>0.73</v>
      </c>
      <c r="E256" s="53">
        <v>3.52</v>
      </c>
      <c r="F256" s="53">
        <v>7.11</v>
      </c>
      <c r="G256" s="50">
        <v>33.9</v>
      </c>
      <c r="H256" s="68">
        <v>0</v>
      </c>
      <c r="I256" s="78">
        <v>-0.85</v>
      </c>
      <c r="J256" s="79"/>
      <c r="K256" s="8">
        <v>0.17</v>
      </c>
      <c r="L256" s="9">
        <v>-1.21</v>
      </c>
      <c r="M256" s="9">
        <v>-2.0699999999999998</v>
      </c>
      <c r="N256" s="10">
        <v>10.029999999999999</v>
      </c>
      <c r="O256" s="14">
        <v>0.60069444444444442</v>
      </c>
      <c r="P256" s="18"/>
    </row>
    <row r="257" spans="1:16" ht="17" thickBot="1" x14ac:dyDescent="0.25">
      <c r="A257" s="35" t="s">
        <v>262</v>
      </c>
      <c r="B257" s="36">
        <v>374</v>
      </c>
      <c r="C257" s="54">
        <v>1.91</v>
      </c>
      <c r="D257" s="48">
        <v>14.85</v>
      </c>
      <c r="E257" s="53">
        <v>5.23</v>
      </c>
      <c r="F257" s="53">
        <v>8.94</v>
      </c>
      <c r="G257" s="50">
        <v>31.19</v>
      </c>
      <c r="H257" s="68">
        <v>0</v>
      </c>
      <c r="I257" s="69">
        <v>1.1000000000000001</v>
      </c>
      <c r="J257" s="70"/>
      <c r="K257" s="8">
        <v>0.73</v>
      </c>
      <c r="L257" s="10">
        <v>3.52</v>
      </c>
      <c r="M257" s="10">
        <v>7.11</v>
      </c>
      <c r="N257" s="10">
        <v>33.9</v>
      </c>
      <c r="O257" s="14">
        <v>0.60069444444444442</v>
      </c>
      <c r="P257" s="18"/>
    </row>
    <row r="258" spans="1:16" ht="17" thickBot="1" x14ac:dyDescent="0.25">
      <c r="A258" s="35" t="s">
        <v>263</v>
      </c>
      <c r="B258" s="36">
        <v>57.2</v>
      </c>
      <c r="C258" s="54">
        <v>0.7</v>
      </c>
      <c r="D258" s="48">
        <v>0.04</v>
      </c>
      <c r="E258" s="49">
        <v>-4.83</v>
      </c>
      <c r="F258" s="53">
        <v>1.6</v>
      </c>
      <c r="G258" s="55">
        <v>-23.73</v>
      </c>
      <c r="H258" s="68">
        <v>0</v>
      </c>
      <c r="I258" s="69">
        <v>1.91</v>
      </c>
      <c r="J258" s="70"/>
      <c r="K258" s="8">
        <v>14.85</v>
      </c>
      <c r="L258" s="10">
        <v>5.23</v>
      </c>
      <c r="M258" s="10">
        <v>8.94</v>
      </c>
      <c r="N258" s="10">
        <v>31.19</v>
      </c>
      <c r="O258" s="14">
        <v>0.60069444444444442</v>
      </c>
      <c r="P258" s="18"/>
    </row>
    <row r="259" spans="1:16" ht="17" thickBot="1" x14ac:dyDescent="0.25">
      <c r="A259" s="35" t="s">
        <v>264</v>
      </c>
      <c r="B259" s="36">
        <v>1299</v>
      </c>
      <c r="C259" s="47">
        <v>-2.2599999999999998</v>
      </c>
      <c r="D259" s="48">
        <v>0.77</v>
      </c>
      <c r="E259" s="49">
        <v>-3.64</v>
      </c>
      <c r="F259" s="53">
        <v>2.04</v>
      </c>
      <c r="G259" s="55">
        <v>-8.91</v>
      </c>
      <c r="H259" s="51">
        <v>1090117</v>
      </c>
      <c r="I259" s="69">
        <v>0.7</v>
      </c>
      <c r="J259" s="70"/>
      <c r="K259" s="8">
        <v>0.04</v>
      </c>
      <c r="L259" s="9">
        <v>-4.83</v>
      </c>
      <c r="M259" s="10">
        <v>1.6</v>
      </c>
      <c r="N259" s="9">
        <v>-23.73</v>
      </c>
      <c r="O259" s="14">
        <v>0.60069444444444442</v>
      </c>
      <c r="P259" s="18"/>
    </row>
    <row r="260" spans="1:16" ht="17" thickBot="1" x14ac:dyDescent="0.25">
      <c r="A260" s="35" t="s">
        <v>265</v>
      </c>
      <c r="B260" s="36">
        <v>41.3</v>
      </c>
      <c r="C260" s="54">
        <v>0</v>
      </c>
      <c r="D260" s="48">
        <v>0</v>
      </c>
      <c r="E260" s="53">
        <v>0</v>
      </c>
      <c r="F260" s="49">
        <v>-4.4000000000000004</v>
      </c>
      <c r="G260" s="55">
        <v>-30.94</v>
      </c>
      <c r="H260" s="68">
        <v>0</v>
      </c>
      <c r="I260" s="78">
        <v>-2.2599999999999998</v>
      </c>
      <c r="J260" s="79"/>
      <c r="K260" s="8">
        <v>0.77</v>
      </c>
      <c r="L260" s="9">
        <v>-3.64</v>
      </c>
      <c r="M260" s="10">
        <v>2.04</v>
      </c>
      <c r="N260" s="9">
        <v>-8.91</v>
      </c>
      <c r="O260" s="14">
        <v>0.60138888888888886</v>
      </c>
      <c r="P260" s="18"/>
    </row>
    <row r="261" spans="1:16" ht="17" thickBot="1" x14ac:dyDescent="0.25">
      <c r="A261" s="35" t="s">
        <v>266</v>
      </c>
      <c r="B261" s="36">
        <v>5979</v>
      </c>
      <c r="C261" s="47">
        <v>-7.0000000000000007E-2</v>
      </c>
      <c r="D261" s="48">
        <v>0.16</v>
      </c>
      <c r="E261" s="53">
        <v>0.79</v>
      </c>
      <c r="F261" s="53">
        <v>0.34</v>
      </c>
      <c r="G261" s="50">
        <v>30.82</v>
      </c>
      <c r="H261" s="68">
        <v>0</v>
      </c>
      <c r="I261" s="69"/>
      <c r="J261" s="70"/>
      <c r="K261" s="8">
        <v>0</v>
      </c>
      <c r="L261" s="10">
        <v>0</v>
      </c>
      <c r="M261" s="9">
        <v>-4.4000000000000004</v>
      </c>
      <c r="N261" s="9">
        <v>-30.94</v>
      </c>
      <c r="O261" s="14">
        <v>0.60069444444444442</v>
      </c>
      <c r="P261" s="18"/>
    </row>
    <row r="262" spans="1:16" ht="17" thickBot="1" x14ac:dyDescent="0.25">
      <c r="A262" s="35" t="s">
        <v>267</v>
      </c>
      <c r="B262" s="36">
        <v>408.5</v>
      </c>
      <c r="C262" s="47">
        <v>-4.51</v>
      </c>
      <c r="D262" s="48">
        <v>0.02</v>
      </c>
      <c r="E262" s="49">
        <v>-3.81</v>
      </c>
      <c r="F262" s="49">
        <v>-0.85</v>
      </c>
      <c r="G262" s="55">
        <v>-4.7699999999999996</v>
      </c>
      <c r="H262" s="68">
        <v>0</v>
      </c>
      <c r="I262" s="78">
        <v>-7.0000000000000007E-2</v>
      </c>
      <c r="J262" s="79"/>
      <c r="K262" s="8">
        <v>0.16</v>
      </c>
      <c r="L262" s="10">
        <v>0.79</v>
      </c>
      <c r="M262" s="10">
        <v>0.34</v>
      </c>
      <c r="N262" s="10">
        <v>30.82</v>
      </c>
      <c r="O262" s="14">
        <v>0.60138888888888886</v>
      </c>
      <c r="P262" s="18"/>
    </row>
    <row r="263" spans="1:16" ht="17" thickBot="1" x14ac:dyDescent="0.25">
      <c r="A263" s="35" t="s">
        <v>268</v>
      </c>
      <c r="B263" s="36">
        <v>1908</v>
      </c>
      <c r="C263" s="54">
        <v>0.42</v>
      </c>
      <c r="D263" s="48">
        <v>0.1</v>
      </c>
      <c r="E263" s="53">
        <v>1.65</v>
      </c>
      <c r="F263" s="53">
        <v>0.63</v>
      </c>
      <c r="G263" s="50">
        <v>6.18</v>
      </c>
      <c r="H263" s="68">
        <v>0</v>
      </c>
      <c r="I263" s="78">
        <v>-4.51</v>
      </c>
      <c r="J263" s="79"/>
      <c r="K263" s="8">
        <v>0.02</v>
      </c>
      <c r="L263" s="9">
        <v>-3.81</v>
      </c>
      <c r="M263" s="9">
        <v>-0.85</v>
      </c>
      <c r="N263" s="9">
        <v>-4.7699999999999996</v>
      </c>
      <c r="O263" s="14">
        <v>0.60138888888888886</v>
      </c>
      <c r="P263" s="18"/>
    </row>
    <row r="264" spans="1:16" ht="17" thickBot="1" x14ac:dyDescent="0.25">
      <c r="A264" s="35" t="s">
        <v>269</v>
      </c>
      <c r="B264" s="36">
        <v>1125</v>
      </c>
      <c r="C264" s="47">
        <v>-0.35</v>
      </c>
      <c r="D264" s="48">
        <v>0</v>
      </c>
      <c r="E264" s="49">
        <v>-1.49</v>
      </c>
      <c r="F264" s="53">
        <v>0.09</v>
      </c>
      <c r="G264" s="55">
        <v>-8.82</v>
      </c>
      <c r="H264" s="68">
        <v>0</v>
      </c>
      <c r="I264" s="69">
        <v>0.42</v>
      </c>
      <c r="J264" s="70"/>
      <c r="K264" s="8">
        <v>0.1</v>
      </c>
      <c r="L264" s="10">
        <v>1.65</v>
      </c>
      <c r="M264" s="10">
        <v>0.63</v>
      </c>
      <c r="N264" s="10">
        <v>6.18</v>
      </c>
      <c r="O264" s="14">
        <v>0.60138888888888886</v>
      </c>
      <c r="P264" s="18"/>
    </row>
    <row r="265" spans="1:16" ht="17" thickBot="1" x14ac:dyDescent="0.25">
      <c r="A265" s="35" t="s">
        <v>270</v>
      </c>
      <c r="B265" s="36">
        <v>1371</v>
      </c>
      <c r="C265" s="54">
        <v>0.88</v>
      </c>
      <c r="D265" s="48">
        <v>0.15</v>
      </c>
      <c r="E265" s="53">
        <v>1.33</v>
      </c>
      <c r="F265" s="53">
        <v>4.18</v>
      </c>
      <c r="G265" s="50">
        <v>39.78</v>
      </c>
      <c r="H265" s="68">
        <v>0</v>
      </c>
      <c r="I265" s="78">
        <v>-0.35</v>
      </c>
      <c r="J265" s="79"/>
      <c r="K265" s="8">
        <v>0</v>
      </c>
      <c r="L265" s="9">
        <v>-1.49</v>
      </c>
      <c r="M265" s="10">
        <v>0.09</v>
      </c>
      <c r="N265" s="9">
        <v>-8.82</v>
      </c>
      <c r="O265" s="14">
        <v>0.60138888888888886</v>
      </c>
      <c r="P265" s="18"/>
    </row>
    <row r="266" spans="1:16" ht="17" thickBot="1" x14ac:dyDescent="0.25">
      <c r="A266" s="35" t="s">
        <v>271</v>
      </c>
      <c r="B266" s="36">
        <v>111.3</v>
      </c>
      <c r="C266" s="54">
        <v>0</v>
      </c>
      <c r="D266" s="48">
        <v>0</v>
      </c>
      <c r="E266" s="53">
        <v>0.63</v>
      </c>
      <c r="F266" s="49">
        <v>-3.22</v>
      </c>
      <c r="G266" s="55">
        <v>-8.77</v>
      </c>
      <c r="H266" s="68">
        <v>0</v>
      </c>
      <c r="I266" s="69">
        <v>0.88</v>
      </c>
      <c r="J266" s="70"/>
      <c r="K266" s="8">
        <v>0.15</v>
      </c>
      <c r="L266" s="10">
        <v>1.33</v>
      </c>
      <c r="M266" s="10">
        <v>4.18</v>
      </c>
      <c r="N266" s="10">
        <v>39.78</v>
      </c>
      <c r="O266" s="14">
        <v>0.60069444444444442</v>
      </c>
      <c r="P266" s="18"/>
    </row>
    <row r="267" spans="1:16" ht="17" customHeight="1" thickBot="1" x14ac:dyDescent="0.25">
      <c r="A267" s="35" t="s">
        <v>272</v>
      </c>
      <c r="B267" s="36">
        <v>6740</v>
      </c>
      <c r="C267" s="54">
        <v>0.18</v>
      </c>
      <c r="D267" s="48">
        <v>0.14000000000000001</v>
      </c>
      <c r="E267" s="49">
        <v>-0.01</v>
      </c>
      <c r="F267" s="53">
        <v>7.15</v>
      </c>
      <c r="G267" s="50">
        <v>63.67</v>
      </c>
      <c r="H267" s="68">
        <v>0</v>
      </c>
      <c r="I267" s="69"/>
      <c r="J267" s="70"/>
      <c r="K267" s="8">
        <v>0</v>
      </c>
      <c r="L267" s="10">
        <v>0.63</v>
      </c>
      <c r="M267" s="9">
        <v>-3.22</v>
      </c>
      <c r="N267" s="9">
        <v>-8.77</v>
      </c>
      <c r="O267" s="14">
        <v>0.60138888888888886</v>
      </c>
      <c r="P267" s="18"/>
    </row>
    <row r="268" spans="1:16" ht="17" customHeight="1" thickBot="1" x14ac:dyDescent="0.25">
      <c r="A268" s="35" t="s">
        <v>273</v>
      </c>
      <c r="B268" s="36">
        <v>3835</v>
      </c>
      <c r="C268" s="54">
        <v>3.48</v>
      </c>
      <c r="D268" s="48">
        <v>0.11</v>
      </c>
      <c r="E268" s="53">
        <v>2.87</v>
      </c>
      <c r="F268" s="53">
        <v>1.51</v>
      </c>
      <c r="G268" s="50">
        <v>18.21</v>
      </c>
      <c r="H268" s="68">
        <v>0</v>
      </c>
      <c r="I268" s="69">
        <v>0.18</v>
      </c>
      <c r="J268" s="70"/>
      <c r="K268" s="8">
        <v>0.14000000000000001</v>
      </c>
      <c r="L268" s="9">
        <v>-0.01</v>
      </c>
      <c r="M268" s="10">
        <v>7.15</v>
      </c>
      <c r="N268" s="10">
        <v>63.67</v>
      </c>
      <c r="O268" s="14">
        <v>0.60069444444444442</v>
      </c>
      <c r="P268" s="18"/>
    </row>
    <row r="269" spans="1:16" ht="17" thickBot="1" x14ac:dyDescent="0.25">
      <c r="A269" s="35" t="s">
        <v>274</v>
      </c>
      <c r="B269" s="36">
        <v>398</v>
      </c>
      <c r="C269" s="54">
        <v>1.76</v>
      </c>
      <c r="D269" s="48">
        <v>0.01</v>
      </c>
      <c r="E269" s="49">
        <v>-0.97</v>
      </c>
      <c r="F269" s="49">
        <v>-3.7</v>
      </c>
      <c r="G269" s="50">
        <v>18.59</v>
      </c>
      <c r="H269" s="68">
        <v>0</v>
      </c>
      <c r="I269" s="69">
        <v>3.48</v>
      </c>
      <c r="J269" s="70"/>
      <c r="K269" s="8">
        <v>0.11</v>
      </c>
      <c r="L269" s="10">
        <v>2.87</v>
      </c>
      <c r="M269" s="10">
        <v>1.51</v>
      </c>
      <c r="N269" s="10">
        <v>18.21</v>
      </c>
      <c r="O269" s="14">
        <v>0.60138888888888886</v>
      </c>
      <c r="P269" s="18"/>
    </row>
    <row r="270" spans="1:16" ht="17" thickBot="1" x14ac:dyDescent="0.25">
      <c r="A270" s="35" t="s">
        <v>275</v>
      </c>
      <c r="B270" s="36">
        <v>789.7</v>
      </c>
      <c r="C270" s="54">
        <v>8.15</v>
      </c>
      <c r="D270" s="48">
        <v>0.01</v>
      </c>
      <c r="E270" s="53">
        <v>6.79</v>
      </c>
      <c r="F270" s="53">
        <v>2.89</v>
      </c>
      <c r="G270" s="50">
        <v>18.52</v>
      </c>
      <c r="H270" s="68">
        <v>0</v>
      </c>
      <c r="I270" s="69">
        <v>1.76</v>
      </c>
      <c r="J270" s="70"/>
      <c r="K270" s="8">
        <v>0.01</v>
      </c>
      <c r="L270" s="9">
        <v>-0.97</v>
      </c>
      <c r="M270" s="9">
        <v>-3.7</v>
      </c>
      <c r="N270" s="10">
        <v>18.59</v>
      </c>
      <c r="O270" s="14">
        <v>0.60138888888888886</v>
      </c>
      <c r="P270" s="18"/>
    </row>
    <row r="271" spans="1:16" ht="17" thickBot="1" x14ac:dyDescent="0.25">
      <c r="A271" s="35" t="s">
        <v>276</v>
      </c>
      <c r="B271" s="36">
        <v>2953</v>
      </c>
      <c r="C271" s="47">
        <v>-1.6</v>
      </c>
      <c r="D271" s="48">
        <v>0.17</v>
      </c>
      <c r="E271" s="53">
        <v>1.58</v>
      </c>
      <c r="F271" s="53">
        <v>2.5299999999999998</v>
      </c>
      <c r="G271" s="50">
        <v>35.22</v>
      </c>
      <c r="H271" s="68">
        <v>0</v>
      </c>
      <c r="I271" s="69">
        <v>8.15</v>
      </c>
      <c r="J271" s="70"/>
      <c r="K271" s="8">
        <v>0.01</v>
      </c>
      <c r="L271" s="10">
        <v>6.79</v>
      </c>
      <c r="M271" s="10">
        <v>2.89</v>
      </c>
      <c r="N271" s="10">
        <v>18.52</v>
      </c>
      <c r="O271" s="14">
        <v>0.60069444444444442</v>
      </c>
      <c r="P271" s="18"/>
    </row>
    <row r="272" spans="1:16" ht="17" thickBot="1" x14ac:dyDescent="0.25">
      <c r="A272" s="35" t="s">
        <v>277</v>
      </c>
      <c r="B272" s="36">
        <v>2489</v>
      </c>
      <c r="C272" s="47">
        <v>-0.96</v>
      </c>
      <c r="D272" s="48">
        <v>0.2</v>
      </c>
      <c r="E272" s="49">
        <v>-0.6</v>
      </c>
      <c r="F272" s="49">
        <v>-7.61</v>
      </c>
      <c r="G272" s="55">
        <v>-14.47</v>
      </c>
      <c r="H272" s="68">
        <v>0</v>
      </c>
      <c r="I272" s="78">
        <v>-1.6</v>
      </c>
      <c r="J272" s="79"/>
      <c r="K272" s="8">
        <v>0.17</v>
      </c>
      <c r="L272" s="10">
        <v>1.58</v>
      </c>
      <c r="M272" s="10">
        <v>2.5299999999999998</v>
      </c>
      <c r="N272" s="10">
        <v>35.22</v>
      </c>
      <c r="O272" s="14">
        <v>0.60138888888888886</v>
      </c>
      <c r="P272" s="18"/>
    </row>
    <row r="273" spans="1:16" ht="17" customHeight="1" thickBot="1" x14ac:dyDescent="0.25">
      <c r="A273" s="35" t="s">
        <v>278</v>
      </c>
      <c r="B273" s="36">
        <v>42.3</v>
      </c>
      <c r="C273" s="54">
        <v>0</v>
      </c>
      <c r="D273" s="48">
        <v>0</v>
      </c>
      <c r="E273" s="53">
        <v>0</v>
      </c>
      <c r="F273" s="53">
        <v>0</v>
      </c>
      <c r="G273" s="55">
        <v>-34.32</v>
      </c>
      <c r="H273" s="68">
        <v>0</v>
      </c>
      <c r="I273" s="78">
        <v>-0.96</v>
      </c>
      <c r="J273" s="79"/>
      <c r="K273" s="8">
        <v>0.2</v>
      </c>
      <c r="L273" s="9">
        <v>-0.6</v>
      </c>
      <c r="M273" s="9">
        <v>-7.61</v>
      </c>
      <c r="N273" s="9">
        <v>-14.47</v>
      </c>
      <c r="O273" s="14">
        <v>0.60138888888888886</v>
      </c>
      <c r="P273" s="18"/>
    </row>
    <row r="274" spans="1:16" ht="17" thickBot="1" x14ac:dyDescent="0.25">
      <c r="A274" s="35" t="s">
        <v>279</v>
      </c>
      <c r="B274" s="36">
        <v>632.1</v>
      </c>
      <c r="C274" s="54">
        <v>0</v>
      </c>
      <c r="D274" s="48">
        <v>0</v>
      </c>
      <c r="E274" s="53">
        <v>0</v>
      </c>
      <c r="F274" s="53">
        <v>3.64</v>
      </c>
      <c r="G274" s="50">
        <v>23.22</v>
      </c>
      <c r="H274" s="68">
        <v>0</v>
      </c>
      <c r="I274" s="69"/>
      <c r="J274" s="70"/>
      <c r="K274" s="8">
        <v>0</v>
      </c>
      <c r="L274" s="10">
        <v>0</v>
      </c>
      <c r="M274" s="10">
        <v>0</v>
      </c>
      <c r="N274" s="9">
        <v>-34.32</v>
      </c>
      <c r="O274" s="14">
        <v>0.3263888888888889</v>
      </c>
      <c r="P274" s="18"/>
    </row>
    <row r="275" spans="1:16" ht="17" thickBot="1" x14ac:dyDescent="0.25">
      <c r="A275" s="35" t="s">
        <v>280</v>
      </c>
      <c r="B275" s="36">
        <v>4547</v>
      </c>
      <c r="C275" s="54">
        <v>0</v>
      </c>
      <c r="D275" s="48">
        <v>0.17</v>
      </c>
      <c r="E275" s="49">
        <v>-0.26</v>
      </c>
      <c r="F275" s="53">
        <v>2.71</v>
      </c>
      <c r="G275" s="50">
        <v>29.64</v>
      </c>
      <c r="H275" s="68">
        <v>0</v>
      </c>
      <c r="I275" s="69"/>
      <c r="J275" s="70"/>
      <c r="K275" s="8">
        <v>0</v>
      </c>
      <c r="L275" s="10">
        <v>0</v>
      </c>
      <c r="M275" s="10">
        <v>3.64</v>
      </c>
      <c r="N275" s="10">
        <v>23.22</v>
      </c>
      <c r="O275" s="14">
        <v>0.60138888888888886</v>
      </c>
      <c r="P275" s="18"/>
    </row>
    <row r="276" spans="1:16" ht="17" thickBot="1" x14ac:dyDescent="0.25">
      <c r="A276" s="35" t="s">
        <v>281</v>
      </c>
      <c r="B276" s="36">
        <v>115.5</v>
      </c>
      <c r="C276" s="54">
        <v>3.68</v>
      </c>
      <c r="D276" s="48">
        <v>0</v>
      </c>
      <c r="E276" s="53">
        <v>3.68</v>
      </c>
      <c r="F276" s="49">
        <v>-2.12</v>
      </c>
      <c r="G276" s="55">
        <v>-70.760000000000005</v>
      </c>
      <c r="H276" s="68">
        <v>0</v>
      </c>
      <c r="I276" s="69"/>
      <c r="J276" s="70"/>
      <c r="K276" s="8">
        <v>0.17</v>
      </c>
      <c r="L276" s="9">
        <v>-0.26</v>
      </c>
      <c r="M276" s="10">
        <v>2.71</v>
      </c>
      <c r="N276" s="10">
        <v>29.64</v>
      </c>
      <c r="O276" s="14">
        <v>0.60138888888888886</v>
      </c>
      <c r="P276" s="18"/>
    </row>
    <row r="277" spans="1:16" ht="17" thickBot="1" x14ac:dyDescent="0.25">
      <c r="A277" s="35" t="s">
        <v>282</v>
      </c>
      <c r="B277" s="36">
        <v>627.4</v>
      </c>
      <c r="C277" s="47">
        <v>-0.35</v>
      </c>
      <c r="D277" s="48">
        <v>7.0000000000000007E-2</v>
      </c>
      <c r="E277" s="49">
        <v>-0.46</v>
      </c>
      <c r="F277" s="49">
        <v>-2</v>
      </c>
      <c r="G277" s="50">
        <v>7.21</v>
      </c>
      <c r="H277" s="68">
        <v>0</v>
      </c>
      <c r="I277" s="69">
        <v>3.68</v>
      </c>
      <c r="J277" s="70"/>
      <c r="K277" s="8">
        <v>0</v>
      </c>
      <c r="L277" s="10">
        <v>3.68</v>
      </c>
      <c r="M277" s="9">
        <v>-2.12</v>
      </c>
      <c r="N277" s="9">
        <v>-70.760000000000005</v>
      </c>
      <c r="O277" s="14">
        <v>0.60138888888888886</v>
      </c>
      <c r="P277" s="18"/>
    </row>
    <row r="278" spans="1:16" ht="17" customHeight="1" thickBot="1" x14ac:dyDescent="0.25">
      <c r="A278" s="35" t="s">
        <v>283</v>
      </c>
      <c r="B278" s="36">
        <v>2103</v>
      </c>
      <c r="C278" s="54">
        <v>0.1</v>
      </c>
      <c r="D278" s="48">
        <v>0.56999999999999995</v>
      </c>
      <c r="E278" s="49">
        <v>-1.87</v>
      </c>
      <c r="F278" s="53">
        <v>9.1300000000000008</v>
      </c>
      <c r="G278" s="50">
        <v>29.02</v>
      </c>
      <c r="H278" s="68">
        <v>0</v>
      </c>
      <c r="I278" s="78">
        <v>-0.35</v>
      </c>
      <c r="J278" s="79"/>
      <c r="K278" s="8">
        <v>7.0000000000000007E-2</v>
      </c>
      <c r="L278" s="9">
        <v>-0.46</v>
      </c>
      <c r="M278" s="9">
        <v>-2</v>
      </c>
      <c r="N278" s="10">
        <v>7.21</v>
      </c>
      <c r="O278" s="14">
        <v>0.60069444444444442</v>
      </c>
      <c r="P278" s="18"/>
    </row>
    <row r="279" spans="1:16" ht="17" thickBot="1" x14ac:dyDescent="0.25">
      <c r="A279" s="35" t="s">
        <v>284</v>
      </c>
      <c r="B279" s="36">
        <v>846</v>
      </c>
      <c r="C279" s="47">
        <v>-1.01</v>
      </c>
      <c r="D279" s="48">
        <v>0.06</v>
      </c>
      <c r="E279" s="49">
        <v>-0.33</v>
      </c>
      <c r="F279" s="49">
        <v>-7.52</v>
      </c>
      <c r="G279" s="55">
        <v>-52.26</v>
      </c>
      <c r="H279" s="68">
        <v>0</v>
      </c>
      <c r="I279" s="69">
        <v>0.1</v>
      </c>
      <c r="J279" s="70"/>
      <c r="K279" s="8">
        <v>0.56999999999999995</v>
      </c>
      <c r="L279" s="9">
        <v>-1.87</v>
      </c>
      <c r="M279" s="10">
        <v>9.1300000000000008</v>
      </c>
      <c r="N279" s="10">
        <v>29.02</v>
      </c>
      <c r="O279" s="14">
        <v>0.60069444444444442</v>
      </c>
      <c r="P279" s="18"/>
    </row>
    <row r="280" spans="1:16" ht="17" thickBot="1" x14ac:dyDescent="0.25">
      <c r="A280" s="35" t="s">
        <v>285</v>
      </c>
      <c r="B280" s="36">
        <v>1531</v>
      </c>
      <c r="C280" s="54">
        <v>2.27</v>
      </c>
      <c r="D280" s="48">
        <v>0</v>
      </c>
      <c r="E280" s="53">
        <v>8.5</v>
      </c>
      <c r="F280" s="53">
        <v>2.34</v>
      </c>
      <c r="G280" s="50">
        <v>68.319999999999993</v>
      </c>
      <c r="H280" s="68">
        <v>0</v>
      </c>
      <c r="I280" s="78">
        <v>-1.01</v>
      </c>
      <c r="J280" s="79"/>
      <c r="K280" s="8">
        <v>0.06</v>
      </c>
      <c r="L280" s="9">
        <v>-0.33</v>
      </c>
      <c r="M280" s="9">
        <v>-7.52</v>
      </c>
      <c r="N280" s="9">
        <v>-52.26</v>
      </c>
      <c r="O280" s="14">
        <v>0.60069444444444442</v>
      </c>
      <c r="P280" s="18"/>
    </row>
    <row r="281" spans="1:16" ht="17" thickBot="1" x14ac:dyDescent="0.25">
      <c r="A281" s="35" t="s">
        <v>286</v>
      </c>
      <c r="B281" s="36">
        <v>459.6</v>
      </c>
      <c r="C281" s="47">
        <v>-1.23</v>
      </c>
      <c r="D281" s="48">
        <v>0.11</v>
      </c>
      <c r="E281" s="49">
        <v>-1.52</v>
      </c>
      <c r="F281" s="49">
        <v>-8.34</v>
      </c>
      <c r="G281" s="55">
        <v>-20.07</v>
      </c>
      <c r="H281" s="68">
        <v>0</v>
      </c>
      <c r="I281" s="69">
        <v>2.27</v>
      </c>
      <c r="J281" s="70"/>
      <c r="K281" s="8">
        <v>0</v>
      </c>
      <c r="L281" s="10">
        <v>8.5</v>
      </c>
      <c r="M281" s="10">
        <v>2.34</v>
      </c>
      <c r="N281" s="10">
        <v>68.319999999999993</v>
      </c>
      <c r="O281" s="14">
        <v>0.60069444444444442</v>
      </c>
      <c r="P281" s="18"/>
    </row>
    <row r="282" spans="1:16" ht="17" customHeight="1" thickBot="1" x14ac:dyDescent="0.25">
      <c r="A282" s="35" t="s">
        <v>287</v>
      </c>
      <c r="B282" s="36">
        <v>647</v>
      </c>
      <c r="C282" s="54">
        <v>0</v>
      </c>
      <c r="D282" s="48">
        <v>0</v>
      </c>
      <c r="E282" s="53">
        <v>2.52</v>
      </c>
      <c r="F282" s="53">
        <v>0.02</v>
      </c>
      <c r="G282" s="50">
        <v>22.58</v>
      </c>
      <c r="H282" s="68">
        <v>0</v>
      </c>
      <c r="I282" s="78">
        <v>-1.23</v>
      </c>
      <c r="J282" s="79"/>
      <c r="K282" s="8">
        <v>0.11</v>
      </c>
      <c r="L282" s="9">
        <v>-1.52</v>
      </c>
      <c r="M282" s="9">
        <v>-8.34</v>
      </c>
      <c r="N282" s="9">
        <v>-20.07</v>
      </c>
      <c r="O282" s="14">
        <v>0.60138888888888886</v>
      </c>
      <c r="P282" s="18"/>
    </row>
    <row r="283" spans="1:16" ht="17" customHeight="1" thickBot="1" x14ac:dyDescent="0.25">
      <c r="A283" s="35" t="s">
        <v>288</v>
      </c>
      <c r="B283" s="36">
        <v>53</v>
      </c>
      <c r="C283" s="54">
        <v>0.19</v>
      </c>
      <c r="D283" s="48">
        <v>0.06</v>
      </c>
      <c r="E283" s="49">
        <v>-1.67</v>
      </c>
      <c r="F283" s="53">
        <v>0.95</v>
      </c>
      <c r="G283" s="50">
        <v>8.83</v>
      </c>
      <c r="H283" s="68">
        <v>0</v>
      </c>
      <c r="I283" s="69"/>
      <c r="J283" s="70"/>
      <c r="K283" s="8">
        <v>0</v>
      </c>
      <c r="L283" s="10">
        <v>2.52</v>
      </c>
      <c r="M283" s="10">
        <v>0.02</v>
      </c>
      <c r="N283" s="10">
        <v>22.58</v>
      </c>
      <c r="O283" s="14">
        <v>0.60138888888888886</v>
      </c>
      <c r="P283" s="18"/>
    </row>
    <row r="284" spans="1:16" ht="17" thickBot="1" x14ac:dyDescent="0.25">
      <c r="A284" s="35" t="s">
        <v>289</v>
      </c>
      <c r="B284" s="36">
        <v>207.2</v>
      </c>
      <c r="C284" s="47">
        <v>-0.53</v>
      </c>
      <c r="D284" s="48">
        <v>0.04</v>
      </c>
      <c r="E284" s="49">
        <v>-0.05</v>
      </c>
      <c r="F284" s="49">
        <v>-0.34</v>
      </c>
      <c r="G284" s="50">
        <v>54.02</v>
      </c>
      <c r="H284" s="68">
        <v>0</v>
      </c>
      <c r="I284" s="69">
        <v>0.19</v>
      </c>
      <c r="J284" s="70"/>
      <c r="K284" s="8">
        <v>0.06</v>
      </c>
      <c r="L284" s="9">
        <v>-1.67</v>
      </c>
      <c r="M284" s="10">
        <v>0.95</v>
      </c>
      <c r="N284" s="10">
        <v>8.83</v>
      </c>
      <c r="O284" s="14">
        <v>0.60069444444444442</v>
      </c>
      <c r="P284" s="18"/>
    </row>
    <row r="285" spans="1:16" ht="17" thickBot="1" x14ac:dyDescent="0.25">
      <c r="A285" s="35" t="s">
        <v>290</v>
      </c>
      <c r="B285" s="36">
        <v>73.599999999999994</v>
      </c>
      <c r="C285" s="47">
        <v>-1.21</v>
      </c>
      <c r="D285" s="48">
        <v>0.03</v>
      </c>
      <c r="E285" s="49">
        <v>-0.67</v>
      </c>
      <c r="F285" s="49">
        <v>-4.91</v>
      </c>
      <c r="G285" s="55">
        <v>-19.12</v>
      </c>
      <c r="H285" s="68">
        <v>0</v>
      </c>
      <c r="I285" s="78">
        <v>-0.53</v>
      </c>
      <c r="J285" s="79"/>
      <c r="K285" s="8">
        <v>0.04</v>
      </c>
      <c r="L285" s="9">
        <v>-0.05</v>
      </c>
      <c r="M285" s="9">
        <v>-0.34</v>
      </c>
      <c r="N285" s="10">
        <v>54.02</v>
      </c>
      <c r="O285" s="14">
        <v>0.60138888888888886</v>
      </c>
      <c r="P285" s="18"/>
    </row>
    <row r="286" spans="1:16" ht="17" customHeight="1" thickBot="1" x14ac:dyDescent="0.25">
      <c r="A286" s="35" t="s">
        <v>291</v>
      </c>
      <c r="B286" s="36">
        <v>1296</v>
      </c>
      <c r="C286" s="54">
        <v>0.78</v>
      </c>
      <c r="D286" s="48">
        <v>0.01</v>
      </c>
      <c r="E286" s="53">
        <v>0.62</v>
      </c>
      <c r="F286" s="49">
        <v>-5.4</v>
      </c>
      <c r="G286" s="55">
        <v>-58.76</v>
      </c>
      <c r="H286" s="68">
        <v>0</v>
      </c>
      <c r="I286" s="78">
        <v>-1.21</v>
      </c>
      <c r="J286" s="79"/>
      <c r="K286" s="8">
        <v>0.03</v>
      </c>
      <c r="L286" s="9">
        <v>-0.67</v>
      </c>
      <c r="M286" s="9">
        <v>-4.91</v>
      </c>
      <c r="N286" s="9">
        <v>-19.12</v>
      </c>
      <c r="O286" s="14">
        <v>0.60138888888888886</v>
      </c>
      <c r="P286" s="18"/>
    </row>
    <row r="287" spans="1:16" ht="17" thickBot="1" x14ac:dyDescent="0.25">
      <c r="A287" s="35" t="s">
        <v>292</v>
      </c>
      <c r="B287" s="36">
        <v>1115</v>
      </c>
      <c r="C287" s="47">
        <v>-1.68</v>
      </c>
      <c r="D287" s="48">
        <v>0.01</v>
      </c>
      <c r="E287" s="49">
        <v>-2.87</v>
      </c>
      <c r="F287" s="49">
        <v>-0.36</v>
      </c>
      <c r="G287" s="50">
        <v>31.92</v>
      </c>
      <c r="H287" s="68">
        <v>0</v>
      </c>
      <c r="I287" s="69">
        <v>0.78</v>
      </c>
      <c r="J287" s="70"/>
      <c r="K287" s="8">
        <v>0.01</v>
      </c>
      <c r="L287" s="10">
        <v>0.62</v>
      </c>
      <c r="M287" s="9">
        <v>-5.4</v>
      </c>
      <c r="N287" s="9">
        <v>-58.76</v>
      </c>
      <c r="O287" s="14">
        <v>0.60138888888888886</v>
      </c>
      <c r="P287" s="18"/>
    </row>
    <row r="288" spans="1:16" ht="17" thickBot="1" x14ac:dyDescent="0.25">
      <c r="A288" s="35" t="s">
        <v>293</v>
      </c>
      <c r="B288" s="36">
        <v>286.8</v>
      </c>
      <c r="C288" s="54">
        <v>0</v>
      </c>
      <c r="D288" s="48">
        <v>0</v>
      </c>
      <c r="E288" s="53">
        <v>0</v>
      </c>
      <c r="F288" s="53">
        <v>0.77</v>
      </c>
      <c r="G288" s="55">
        <v>-5.88</v>
      </c>
      <c r="H288" s="68">
        <v>0</v>
      </c>
      <c r="I288" s="78">
        <v>-1.68</v>
      </c>
      <c r="J288" s="79"/>
      <c r="K288" s="8">
        <v>0.01</v>
      </c>
      <c r="L288" s="9">
        <v>-2.87</v>
      </c>
      <c r="M288" s="9">
        <v>-0.36</v>
      </c>
      <c r="N288" s="10">
        <v>31.92</v>
      </c>
      <c r="O288" s="14">
        <v>0.60069444444444442</v>
      </c>
      <c r="P288" s="18"/>
    </row>
    <row r="289" spans="1:16" ht="17" thickBot="1" x14ac:dyDescent="0.25">
      <c r="A289" s="35" t="s">
        <v>294</v>
      </c>
      <c r="B289" s="36">
        <v>241.5</v>
      </c>
      <c r="C289" s="54">
        <v>0.21</v>
      </c>
      <c r="D289" s="48">
        <v>0.01</v>
      </c>
      <c r="E289" s="49">
        <v>-0.62</v>
      </c>
      <c r="F289" s="53">
        <v>1.1299999999999999</v>
      </c>
      <c r="G289" s="55">
        <v>-9.31</v>
      </c>
      <c r="H289" s="68">
        <v>0</v>
      </c>
      <c r="I289" s="69"/>
      <c r="J289" s="70"/>
      <c r="K289" s="8">
        <v>0</v>
      </c>
      <c r="L289" s="10">
        <v>0</v>
      </c>
      <c r="M289" s="10">
        <v>0.77</v>
      </c>
      <c r="N289" s="9">
        <v>-5.88</v>
      </c>
      <c r="O289" s="14">
        <v>0.60138888888888886</v>
      </c>
      <c r="P289" s="18"/>
    </row>
    <row r="290" spans="1:16" ht="17" thickBot="1" x14ac:dyDescent="0.25">
      <c r="A290" s="35" t="s">
        <v>295</v>
      </c>
      <c r="B290" s="36">
        <v>428.6</v>
      </c>
      <c r="C290" s="47">
        <v>-1.02</v>
      </c>
      <c r="D290" s="48">
        <v>0.01</v>
      </c>
      <c r="E290" s="49">
        <v>-1.81</v>
      </c>
      <c r="F290" s="49">
        <v>-5.7</v>
      </c>
      <c r="G290" s="55">
        <v>-70.44</v>
      </c>
      <c r="H290" s="68">
        <v>0</v>
      </c>
      <c r="I290" s="69">
        <v>0.21</v>
      </c>
      <c r="J290" s="70"/>
      <c r="K290" s="8">
        <v>0.01</v>
      </c>
      <c r="L290" s="9">
        <v>-0.62</v>
      </c>
      <c r="M290" s="10">
        <v>1.1299999999999999</v>
      </c>
      <c r="N290" s="9">
        <v>-9.31</v>
      </c>
      <c r="O290" s="14">
        <v>0.60138888888888886</v>
      </c>
      <c r="P290" s="18"/>
    </row>
    <row r="291" spans="1:16" ht="17" thickBot="1" x14ac:dyDescent="0.25">
      <c r="A291" s="35" t="s">
        <v>296</v>
      </c>
      <c r="B291" s="36">
        <v>4115</v>
      </c>
      <c r="C291" s="54">
        <v>0.27</v>
      </c>
      <c r="D291" s="48">
        <v>0.48</v>
      </c>
      <c r="E291" s="53">
        <v>0.86</v>
      </c>
      <c r="F291" s="49">
        <v>-3.68</v>
      </c>
      <c r="G291" s="50">
        <v>17.61</v>
      </c>
      <c r="H291" s="68">
        <v>0</v>
      </c>
      <c r="I291" s="78">
        <v>-1.02</v>
      </c>
      <c r="J291" s="79"/>
      <c r="K291" s="8">
        <v>0.01</v>
      </c>
      <c r="L291" s="9">
        <v>-1.81</v>
      </c>
      <c r="M291" s="9">
        <v>-5.7</v>
      </c>
      <c r="N291" s="9">
        <v>-70.44</v>
      </c>
      <c r="O291" s="14">
        <v>0.60069444444444442</v>
      </c>
      <c r="P291" s="18"/>
    </row>
    <row r="292" spans="1:16" ht="17" thickBot="1" x14ac:dyDescent="0.25">
      <c r="A292" s="35" t="s">
        <v>297</v>
      </c>
      <c r="B292" s="36">
        <v>2300</v>
      </c>
      <c r="C292" s="47">
        <v>-0.09</v>
      </c>
      <c r="D292" s="48">
        <v>0</v>
      </c>
      <c r="E292" s="53">
        <v>5.07</v>
      </c>
      <c r="F292" s="53">
        <v>4.74</v>
      </c>
      <c r="G292" s="50">
        <v>49.74</v>
      </c>
      <c r="H292" s="68">
        <v>0</v>
      </c>
      <c r="I292" s="69">
        <v>0.27</v>
      </c>
      <c r="J292" s="70"/>
      <c r="K292" s="8">
        <v>0.48</v>
      </c>
      <c r="L292" s="10">
        <v>0.86</v>
      </c>
      <c r="M292" s="9">
        <v>-3.68</v>
      </c>
      <c r="N292" s="10">
        <v>17.61</v>
      </c>
      <c r="O292" s="14">
        <v>0.60138888888888886</v>
      </c>
      <c r="P292" s="18"/>
    </row>
    <row r="293" spans="1:16" ht="17" thickBot="1" x14ac:dyDescent="0.25">
      <c r="A293" s="35" t="s">
        <v>298</v>
      </c>
      <c r="B293" s="36">
        <v>386.9</v>
      </c>
      <c r="C293" s="54">
        <v>0</v>
      </c>
      <c r="D293" s="48">
        <v>0</v>
      </c>
      <c r="E293" s="53">
        <v>0</v>
      </c>
      <c r="F293" s="49">
        <v>-0.92</v>
      </c>
      <c r="G293" s="55">
        <v>-10.96</v>
      </c>
      <c r="H293" s="68">
        <v>0</v>
      </c>
      <c r="I293" s="78">
        <v>-0.09</v>
      </c>
      <c r="J293" s="79"/>
      <c r="K293" s="8">
        <v>0</v>
      </c>
      <c r="L293" s="10">
        <v>5.07</v>
      </c>
      <c r="M293" s="10">
        <v>4.74</v>
      </c>
      <c r="N293" s="10">
        <v>49.74</v>
      </c>
      <c r="O293" s="14">
        <v>0.60138888888888886</v>
      </c>
      <c r="P293" s="18"/>
    </row>
    <row r="294" spans="1:16" ht="17" thickBot="1" x14ac:dyDescent="0.25">
      <c r="A294" s="35" t="s">
        <v>299</v>
      </c>
      <c r="B294" s="36">
        <v>3982</v>
      </c>
      <c r="C294" s="47">
        <v>-0.05</v>
      </c>
      <c r="D294" s="48">
        <v>0.09</v>
      </c>
      <c r="E294" s="53">
        <v>0.28000000000000003</v>
      </c>
      <c r="F294" s="53">
        <v>2.6</v>
      </c>
      <c r="G294" s="50">
        <v>6.27</v>
      </c>
      <c r="H294" s="68">
        <v>0</v>
      </c>
      <c r="I294" s="69"/>
      <c r="J294" s="70"/>
      <c r="K294" s="8">
        <v>0</v>
      </c>
      <c r="L294" s="10">
        <v>0</v>
      </c>
      <c r="M294" s="9">
        <v>-0.92</v>
      </c>
      <c r="N294" s="9">
        <v>-10.96</v>
      </c>
      <c r="O294" s="14">
        <v>0.60138888888888886</v>
      </c>
      <c r="P294" s="18"/>
    </row>
    <row r="295" spans="1:16" ht="17" customHeight="1" thickBot="1" x14ac:dyDescent="0.25">
      <c r="A295" s="35" t="s">
        <v>300</v>
      </c>
      <c r="B295" s="36">
        <v>744</v>
      </c>
      <c r="C295" s="47">
        <v>-0.17</v>
      </c>
      <c r="D295" s="48">
        <v>0.01</v>
      </c>
      <c r="E295" s="49">
        <v>-1.22</v>
      </c>
      <c r="F295" s="49">
        <v>-3.51</v>
      </c>
      <c r="G295" s="50">
        <v>31.7</v>
      </c>
      <c r="H295" s="68">
        <v>0</v>
      </c>
      <c r="I295" s="78">
        <v>-0.05</v>
      </c>
      <c r="J295" s="79"/>
      <c r="K295" s="8">
        <v>0.09</v>
      </c>
      <c r="L295" s="10">
        <v>0.28000000000000003</v>
      </c>
      <c r="M295" s="10">
        <v>2.6</v>
      </c>
      <c r="N295" s="10">
        <v>6.27</v>
      </c>
      <c r="O295" s="14">
        <v>0.60138888888888886</v>
      </c>
      <c r="P295" s="18"/>
    </row>
    <row r="296" spans="1:16" ht="17" thickBot="1" x14ac:dyDescent="0.25">
      <c r="A296" s="35" t="s">
        <v>301</v>
      </c>
      <c r="B296" s="36">
        <v>99.9</v>
      </c>
      <c r="C296" s="54">
        <v>0.5</v>
      </c>
      <c r="D296" s="48">
        <v>0.1</v>
      </c>
      <c r="E296" s="53">
        <v>1.94</v>
      </c>
      <c r="F296" s="49">
        <v>-0.79</v>
      </c>
      <c r="G296" s="55">
        <v>-43.01</v>
      </c>
      <c r="H296" s="68">
        <v>0</v>
      </c>
      <c r="I296" s="78">
        <v>-0.17</v>
      </c>
      <c r="J296" s="79"/>
      <c r="K296" s="8">
        <v>0.01</v>
      </c>
      <c r="L296" s="9">
        <v>-1.22</v>
      </c>
      <c r="M296" s="9">
        <v>-3.51</v>
      </c>
      <c r="N296" s="10">
        <v>31.7</v>
      </c>
      <c r="O296" s="14">
        <v>0.60138888888888886</v>
      </c>
      <c r="P296" s="18"/>
    </row>
    <row r="297" spans="1:16" ht="17" thickBot="1" x14ac:dyDescent="0.25">
      <c r="A297" s="35" t="s">
        <v>302</v>
      </c>
      <c r="B297" s="36">
        <v>980.1</v>
      </c>
      <c r="C297" s="54">
        <v>0</v>
      </c>
      <c r="D297" s="48">
        <v>0</v>
      </c>
      <c r="E297" s="49">
        <v>-1.87</v>
      </c>
      <c r="F297" s="53">
        <v>4.2699999999999996</v>
      </c>
      <c r="G297" s="50">
        <v>65.61</v>
      </c>
      <c r="H297" s="68">
        <v>0</v>
      </c>
      <c r="I297" s="69">
        <v>0.5</v>
      </c>
      <c r="J297" s="70"/>
      <c r="K297" s="8">
        <v>0.1</v>
      </c>
      <c r="L297" s="10">
        <v>1.94</v>
      </c>
      <c r="M297" s="9">
        <v>-0.79</v>
      </c>
      <c r="N297" s="9">
        <v>-43.01</v>
      </c>
      <c r="O297" s="14">
        <v>0.60069444444444442</v>
      </c>
      <c r="P297" s="18"/>
    </row>
    <row r="298" spans="1:16" ht="17" thickBot="1" x14ac:dyDescent="0.25">
      <c r="A298" s="35" t="s">
        <v>303</v>
      </c>
      <c r="B298" s="36">
        <v>102.1</v>
      </c>
      <c r="C298" s="47">
        <v>-7.94</v>
      </c>
      <c r="D298" s="48">
        <v>0.06</v>
      </c>
      <c r="E298" s="49">
        <v>-7.94</v>
      </c>
      <c r="F298" s="49">
        <v>-13.77</v>
      </c>
      <c r="G298" s="55">
        <v>-36.200000000000003</v>
      </c>
      <c r="H298" s="68">
        <v>0</v>
      </c>
      <c r="I298" s="69"/>
      <c r="J298" s="70"/>
      <c r="K298" s="8">
        <v>0</v>
      </c>
      <c r="L298" s="9">
        <v>-1.87</v>
      </c>
      <c r="M298" s="10">
        <v>4.2699999999999996</v>
      </c>
      <c r="N298" s="10">
        <v>65.61</v>
      </c>
      <c r="O298" s="14">
        <v>0.60138888888888886</v>
      </c>
      <c r="P298" s="18"/>
    </row>
    <row r="299" spans="1:16" ht="17" thickBot="1" x14ac:dyDescent="0.25">
      <c r="A299" s="35" t="s">
        <v>304</v>
      </c>
      <c r="B299" s="36">
        <v>108.9</v>
      </c>
      <c r="C299" s="47">
        <v>-5.88</v>
      </c>
      <c r="D299" s="48">
        <v>0.09</v>
      </c>
      <c r="E299" s="53">
        <v>9.34</v>
      </c>
      <c r="F299" s="53">
        <v>70.16</v>
      </c>
      <c r="G299" s="50">
        <v>76.209999999999994</v>
      </c>
      <c r="H299" s="68">
        <v>0</v>
      </c>
      <c r="I299" s="78">
        <v>-7.94</v>
      </c>
      <c r="J299" s="79"/>
      <c r="K299" s="8">
        <v>0.06</v>
      </c>
      <c r="L299" s="9">
        <v>-7.94</v>
      </c>
      <c r="M299" s="9">
        <v>-13.77</v>
      </c>
      <c r="N299" s="9">
        <v>-36.200000000000003</v>
      </c>
      <c r="O299" s="14">
        <v>0.60069444444444442</v>
      </c>
      <c r="P299" s="18"/>
    </row>
    <row r="300" spans="1:16" ht="17" thickBot="1" x14ac:dyDescent="0.25">
      <c r="A300" s="35" t="s">
        <v>305</v>
      </c>
      <c r="B300" s="36">
        <v>65.3</v>
      </c>
      <c r="C300" s="54">
        <v>1.08</v>
      </c>
      <c r="D300" s="48">
        <v>0</v>
      </c>
      <c r="E300" s="53">
        <v>2.35</v>
      </c>
      <c r="F300" s="49">
        <v>-1.21</v>
      </c>
      <c r="G300" s="55">
        <v>-15.3</v>
      </c>
      <c r="H300" s="68">
        <v>0</v>
      </c>
      <c r="I300" s="78">
        <v>-5.88</v>
      </c>
      <c r="J300" s="79"/>
      <c r="K300" s="8">
        <v>0.09</v>
      </c>
      <c r="L300" s="10">
        <v>9.34</v>
      </c>
      <c r="M300" s="10">
        <v>70.16</v>
      </c>
      <c r="N300" s="10">
        <v>76.209999999999994</v>
      </c>
      <c r="O300" s="14">
        <v>0.60277777777777775</v>
      </c>
      <c r="P300" s="18"/>
    </row>
    <row r="301" spans="1:16" ht="17" thickBot="1" x14ac:dyDescent="0.25">
      <c r="A301" s="35" t="s">
        <v>306</v>
      </c>
      <c r="B301" s="36">
        <v>3510</v>
      </c>
      <c r="C301" s="54">
        <v>0</v>
      </c>
      <c r="D301" s="48">
        <v>0</v>
      </c>
      <c r="E301" s="49">
        <v>-0.88</v>
      </c>
      <c r="F301" s="49">
        <v>-0.9</v>
      </c>
      <c r="G301" s="50">
        <v>94.93</v>
      </c>
      <c r="H301" s="68">
        <v>0</v>
      </c>
      <c r="I301" s="69">
        <v>1.08</v>
      </c>
      <c r="J301" s="70"/>
      <c r="K301" s="8">
        <v>0</v>
      </c>
      <c r="L301" s="10">
        <v>2.35</v>
      </c>
      <c r="M301" s="9">
        <v>-1.21</v>
      </c>
      <c r="N301" s="9">
        <v>-15.3</v>
      </c>
      <c r="O301" s="14">
        <v>0.60138888888888886</v>
      </c>
      <c r="P301" s="18"/>
    </row>
    <row r="302" spans="1:16" ht="17" thickBot="1" x14ac:dyDescent="0.25">
      <c r="A302" s="35" t="s">
        <v>307</v>
      </c>
      <c r="B302" s="36">
        <v>25470</v>
      </c>
      <c r="C302" s="47">
        <v>-0.51</v>
      </c>
      <c r="D302" s="48">
        <v>1.4</v>
      </c>
      <c r="E302" s="53">
        <v>0.35</v>
      </c>
      <c r="F302" s="49">
        <v>-0.86</v>
      </c>
      <c r="G302" s="50">
        <v>31.38</v>
      </c>
      <c r="H302" s="68">
        <v>0</v>
      </c>
      <c r="I302" s="69"/>
      <c r="J302" s="70"/>
      <c r="K302" s="8">
        <v>0</v>
      </c>
      <c r="L302" s="9">
        <v>-0.88</v>
      </c>
      <c r="M302" s="9">
        <v>-0.9</v>
      </c>
      <c r="N302" s="10">
        <v>94.93</v>
      </c>
      <c r="O302" s="14">
        <v>0.60069444444444442</v>
      </c>
      <c r="P302" s="18"/>
    </row>
    <row r="303" spans="1:16" ht="17" thickBot="1" x14ac:dyDescent="0.25">
      <c r="A303" s="35" t="s">
        <v>308</v>
      </c>
      <c r="B303" s="36">
        <v>1599</v>
      </c>
      <c r="C303" s="54">
        <v>0.19</v>
      </c>
      <c r="D303" s="48">
        <v>1.85</v>
      </c>
      <c r="E303" s="53">
        <v>1.01</v>
      </c>
      <c r="F303" s="49">
        <v>-4.42</v>
      </c>
      <c r="G303" s="50">
        <v>32.79</v>
      </c>
      <c r="H303" s="68">
        <v>0</v>
      </c>
      <c r="I303" s="78">
        <v>-0.51</v>
      </c>
      <c r="J303" s="79"/>
      <c r="K303" s="8">
        <v>1.4</v>
      </c>
      <c r="L303" s="10">
        <v>0.35</v>
      </c>
      <c r="M303" s="9">
        <v>-0.86</v>
      </c>
      <c r="N303" s="10">
        <v>31.38</v>
      </c>
      <c r="O303" s="14">
        <v>0.60069444444444442</v>
      </c>
      <c r="P303" s="18"/>
    </row>
    <row r="304" spans="1:16" ht="17" thickBot="1" x14ac:dyDescent="0.25">
      <c r="A304" s="35" t="s">
        <v>309</v>
      </c>
      <c r="B304" s="36">
        <v>780</v>
      </c>
      <c r="C304" s="54">
        <v>0</v>
      </c>
      <c r="D304" s="48">
        <v>0</v>
      </c>
      <c r="E304" s="49">
        <v>-0.14000000000000001</v>
      </c>
      <c r="F304" s="49">
        <v>-3.45</v>
      </c>
      <c r="G304" s="50">
        <v>88.95</v>
      </c>
      <c r="H304" s="68">
        <v>0</v>
      </c>
      <c r="I304" s="69">
        <v>0.19</v>
      </c>
      <c r="J304" s="70"/>
      <c r="K304" s="8">
        <v>1.85</v>
      </c>
      <c r="L304" s="10">
        <v>1.01</v>
      </c>
      <c r="M304" s="9">
        <v>-4.42</v>
      </c>
      <c r="N304" s="10">
        <v>32.79</v>
      </c>
      <c r="O304" s="14">
        <v>0.60138888888888886</v>
      </c>
      <c r="P304" s="18"/>
    </row>
    <row r="305" spans="1:16" ht="17" thickBot="1" x14ac:dyDescent="0.25">
      <c r="A305" s="35" t="s">
        <v>310</v>
      </c>
      <c r="B305" s="36">
        <v>7796</v>
      </c>
      <c r="C305" s="54">
        <v>1.7</v>
      </c>
      <c r="D305" s="48">
        <v>0.09</v>
      </c>
      <c r="E305" s="53">
        <v>0.72</v>
      </c>
      <c r="F305" s="53">
        <v>2.46</v>
      </c>
      <c r="G305" s="50">
        <v>22.46</v>
      </c>
      <c r="H305" s="68">
        <v>0</v>
      </c>
      <c r="I305" s="69"/>
      <c r="J305" s="70"/>
      <c r="K305" s="8">
        <v>0</v>
      </c>
      <c r="L305" s="9">
        <v>-0.14000000000000001</v>
      </c>
      <c r="M305" s="9">
        <v>-3.45</v>
      </c>
      <c r="N305" s="10">
        <v>88.95</v>
      </c>
      <c r="O305" s="14">
        <v>0.60069444444444442</v>
      </c>
      <c r="P305" s="18"/>
    </row>
    <row r="306" spans="1:16" ht="17" customHeight="1" thickBot="1" x14ac:dyDescent="0.25">
      <c r="A306" s="35" t="s">
        <v>311</v>
      </c>
      <c r="B306" s="36">
        <v>15470</v>
      </c>
      <c r="C306" s="47">
        <v>-0.06</v>
      </c>
      <c r="D306" s="48">
        <v>0.12</v>
      </c>
      <c r="E306" s="53">
        <v>1.78</v>
      </c>
      <c r="F306" s="53">
        <v>1.51</v>
      </c>
      <c r="G306" s="50">
        <v>31.78</v>
      </c>
      <c r="H306" s="68">
        <v>0</v>
      </c>
      <c r="I306" s="69">
        <v>1.7</v>
      </c>
      <c r="J306" s="70"/>
      <c r="K306" s="8">
        <v>0.09</v>
      </c>
      <c r="L306" s="10">
        <v>0.72</v>
      </c>
      <c r="M306" s="10">
        <v>2.46</v>
      </c>
      <c r="N306" s="10">
        <v>22.46</v>
      </c>
      <c r="O306" s="14">
        <v>0.60138888888888886</v>
      </c>
      <c r="P306" s="18"/>
    </row>
    <row r="307" spans="1:16" ht="17" thickBot="1" x14ac:dyDescent="0.25">
      <c r="A307" s="35" t="s">
        <v>312</v>
      </c>
      <c r="B307" s="36">
        <v>969.5</v>
      </c>
      <c r="C307" s="54">
        <v>0</v>
      </c>
      <c r="D307" s="48">
        <v>0</v>
      </c>
      <c r="E307" s="53">
        <v>0</v>
      </c>
      <c r="F307" s="53">
        <v>0.99</v>
      </c>
      <c r="G307" s="50">
        <v>14.98</v>
      </c>
      <c r="H307" s="68">
        <v>0</v>
      </c>
      <c r="I307" s="78">
        <v>-0.06</v>
      </c>
      <c r="J307" s="79"/>
      <c r="K307" s="8">
        <v>0.12</v>
      </c>
      <c r="L307" s="10">
        <v>1.78</v>
      </c>
      <c r="M307" s="10">
        <v>1.51</v>
      </c>
      <c r="N307" s="10">
        <v>31.78</v>
      </c>
      <c r="O307" s="14">
        <v>0.60138888888888886</v>
      </c>
      <c r="P307" s="18"/>
    </row>
    <row r="308" spans="1:16" ht="17" thickBot="1" x14ac:dyDescent="0.25">
      <c r="A308" s="35" t="s">
        <v>313</v>
      </c>
      <c r="B308" s="36">
        <v>1165</v>
      </c>
      <c r="C308" s="54">
        <v>0.34</v>
      </c>
      <c r="D308" s="48">
        <v>2.2000000000000002</v>
      </c>
      <c r="E308" s="53">
        <v>1.3</v>
      </c>
      <c r="F308" s="53">
        <v>0.52</v>
      </c>
      <c r="G308" s="50">
        <v>16.010000000000002</v>
      </c>
      <c r="H308" s="68">
        <v>0</v>
      </c>
      <c r="I308" s="69"/>
      <c r="J308" s="70"/>
      <c r="K308" s="8">
        <v>0</v>
      </c>
      <c r="L308" s="10">
        <v>0</v>
      </c>
      <c r="M308" s="10">
        <v>0.99</v>
      </c>
      <c r="N308" s="10">
        <v>14.98</v>
      </c>
      <c r="O308" s="14">
        <v>0.60138888888888886</v>
      </c>
      <c r="P308" s="18"/>
    </row>
    <row r="309" spans="1:16" ht="17" thickBot="1" x14ac:dyDescent="0.25">
      <c r="A309" s="35" t="s">
        <v>314</v>
      </c>
      <c r="B309" s="36">
        <v>85</v>
      </c>
      <c r="C309" s="54">
        <v>0</v>
      </c>
      <c r="D309" s="48">
        <v>0</v>
      </c>
      <c r="E309" s="53">
        <v>0</v>
      </c>
      <c r="F309" s="53">
        <v>2.41</v>
      </c>
      <c r="G309" s="50">
        <v>1.31</v>
      </c>
      <c r="H309" s="68">
        <v>0</v>
      </c>
      <c r="I309" s="69">
        <v>0.34</v>
      </c>
      <c r="J309" s="70"/>
      <c r="K309" s="8">
        <v>2.2000000000000002</v>
      </c>
      <c r="L309" s="10">
        <v>1.3</v>
      </c>
      <c r="M309" s="10">
        <v>0.52</v>
      </c>
      <c r="N309" s="10">
        <v>16.010000000000002</v>
      </c>
      <c r="O309" s="14">
        <v>0.60069444444444442</v>
      </c>
      <c r="P309" s="18"/>
    </row>
    <row r="310" spans="1:16" ht="17" thickBot="1" x14ac:dyDescent="0.25">
      <c r="A310" s="35" t="s">
        <v>315</v>
      </c>
      <c r="B310" s="36">
        <v>2034</v>
      </c>
      <c r="C310" s="47">
        <v>-0.59</v>
      </c>
      <c r="D310" s="48">
        <v>0.22</v>
      </c>
      <c r="E310" s="53">
        <v>0.35</v>
      </c>
      <c r="F310" s="53">
        <v>4.1500000000000004</v>
      </c>
      <c r="G310" s="55">
        <v>-9.64</v>
      </c>
      <c r="H310" s="51">
        <v>1099654</v>
      </c>
      <c r="I310" s="69"/>
      <c r="J310" s="70"/>
      <c r="K310" s="8">
        <v>0</v>
      </c>
      <c r="L310" s="10">
        <v>0</v>
      </c>
      <c r="M310" s="10">
        <v>2.41</v>
      </c>
      <c r="N310" s="10">
        <v>1.31</v>
      </c>
      <c r="O310" s="14">
        <v>0.60069444444444442</v>
      </c>
      <c r="P310" s="18"/>
    </row>
    <row r="311" spans="1:16" ht="17" customHeight="1" thickBot="1" x14ac:dyDescent="0.25">
      <c r="A311" s="35" t="s">
        <v>316</v>
      </c>
      <c r="B311" s="36">
        <v>194.7</v>
      </c>
      <c r="C311" s="47">
        <v>-0.71</v>
      </c>
      <c r="D311" s="48">
        <v>0.01</v>
      </c>
      <c r="E311" s="49">
        <v>-2.16</v>
      </c>
      <c r="F311" s="49">
        <v>-3.52</v>
      </c>
      <c r="G311" s="55">
        <v>-25</v>
      </c>
      <c r="H311" s="68">
        <v>0</v>
      </c>
      <c r="I311" s="78">
        <v>-0.59</v>
      </c>
      <c r="J311" s="79"/>
      <c r="K311" s="8">
        <v>0.22</v>
      </c>
      <c r="L311" s="10">
        <v>0.35</v>
      </c>
      <c r="M311" s="10">
        <v>4.1500000000000004</v>
      </c>
      <c r="N311" s="9">
        <v>-9.64</v>
      </c>
      <c r="O311" s="14">
        <v>0.60069444444444442</v>
      </c>
      <c r="P311" s="18"/>
    </row>
    <row r="312" spans="1:16" ht="17" thickBot="1" x14ac:dyDescent="0.25">
      <c r="A312" s="35" t="s">
        <v>317</v>
      </c>
      <c r="B312" s="36">
        <v>59140</v>
      </c>
      <c r="C312" s="47">
        <v>-0.37</v>
      </c>
      <c r="D312" s="48">
        <v>3.11</v>
      </c>
      <c r="E312" s="53">
        <v>0.19</v>
      </c>
      <c r="F312" s="53">
        <v>0.85</v>
      </c>
      <c r="G312" s="55">
        <v>-3.35</v>
      </c>
      <c r="H312" s="68">
        <v>0</v>
      </c>
      <c r="I312" s="78">
        <v>-0.71</v>
      </c>
      <c r="J312" s="79"/>
      <c r="K312" s="8">
        <v>0.01</v>
      </c>
      <c r="L312" s="9">
        <v>-2.16</v>
      </c>
      <c r="M312" s="9">
        <v>-3.52</v>
      </c>
      <c r="N312" s="9">
        <v>-25</v>
      </c>
      <c r="O312" s="14">
        <v>0.60069444444444442</v>
      </c>
      <c r="P312" s="18"/>
    </row>
    <row r="313" spans="1:16" ht="17" thickBot="1" x14ac:dyDescent="0.25">
      <c r="A313" s="35" t="s">
        <v>318</v>
      </c>
      <c r="B313" s="36">
        <v>1783</v>
      </c>
      <c r="C313" s="54">
        <v>0.22</v>
      </c>
      <c r="D313" s="48">
        <v>0.4</v>
      </c>
      <c r="E313" s="53">
        <v>12.14</v>
      </c>
      <c r="F313" s="53">
        <v>11.23</v>
      </c>
      <c r="G313" s="55">
        <v>-23.64</v>
      </c>
      <c r="H313" s="68">
        <v>0</v>
      </c>
      <c r="I313" s="78">
        <v>-0.37</v>
      </c>
      <c r="J313" s="79"/>
      <c r="K313" s="8">
        <v>3.11</v>
      </c>
      <c r="L313" s="10">
        <v>0.19</v>
      </c>
      <c r="M313" s="10">
        <v>0.85</v>
      </c>
      <c r="N313" s="9">
        <v>-3.35</v>
      </c>
      <c r="O313" s="14">
        <v>0.60069444444444442</v>
      </c>
      <c r="P313" s="18"/>
    </row>
    <row r="314" spans="1:16" ht="17" thickBot="1" x14ac:dyDescent="0.25">
      <c r="A314" s="35" t="s">
        <v>319</v>
      </c>
      <c r="B314" s="36">
        <v>454.2</v>
      </c>
      <c r="C314" s="47">
        <v>-0.28999999999999998</v>
      </c>
      <c r="D314" s="48">
        <v>0.24</v>
      </c>
      <c r="E314" s="49">
        <v>-1.86</v>
      </c>
      <c r="F314" s="49">
        <v>-1.45</v>
      </c>
      <c r="G314" s="50">
        <v>36.79</v>
      </c>
      <c r="H314" s="68">
        <v>0</v>
      </c>
      <c r="I314" s="69">
        <v>0.22</v>
      </c>
      <c r="J314" s="70"/>
      <c r="K314" s="8">
        <v>0.4</v>
      </c>
      <c r="L314" s="10">
        <v>12.14</v>
      </c>
      <c r="M314" s="10">
        <v>11.23</v>
      </c>
      <c r="N314" s="9">
        <v>-23.64</v>
      </c>
      <c r="O314" s="14">
        <v>0.60138888888888886</v>
      </c>
      <c r="P314" s="18"/>
    </row>
    <row r="315" spans="1:16" ht="17" thickBot="1" x14ac:dyDescent="0.25">
      <c r="A315" s="35" t="s">
        <v>320</v>
      </c>
      <c r="B315" s="36">
        <v>34.5</v>
      </c>
      <c r="C315" s="47">
        <v>-1.1499999999999999</v>
      </c>
      <c r="D315" s="48">
        <v>0.02</v>
      </c>
      <c r="E315" s="49">
        <v>-1.1499999999999999</v>
      </c>
      <c r="F315" s="53">
        <v>14.62</v>
      </c>
      <c r="G315" s="55">
        <v>-43.16</v>
      </c>
      <c r="H315" s="68">
        <v>0</v>
      </c>
      <c r="I315" s="78">
        <v>-0.28999999999999998</v>
      </c>
      <c r="J315" s="79"/>
      <c r="K315" s="8">
        <v>0.24</v>
      </c>
      <c r="L315" s="9">
        <v>-1.86</v>
      </c>
      <c r="M315" s="9">
        <v>-1.45</v>
      </c>
      <c r="N315" s="10">
        <v>36.79</v>
      </c>
      <c r="O315" s="14">
        <v>0.60138888888888886</v>
      </c>
      <c r="P315" s="18"/>
    </row>
    <row r="316" spans="1:16" ht="17" thickBot="1" x14ac:dyDescent="0.25">
      <c r="A316" s="35" t="s">
        <v>321</v>
      </c>
      <c r="B316" s="36">
        <v>118</v>
      </c>
      <c r="C316" s="47">
        <v>-0.51</v>
      </c>
      <c r="D316" s="48">
        <v>0.02</v>
      </c>
      <c r="E316" s="49">
        <v>-1.83</v>
      </c>
      <c r="F316" s="53">
        <v>0</v>
      </c>
      <c r="G316" s="55">
        <v>-11.61</v>
      </c>
      <c r="H316" s="68">
        <v>0</v>
      </c>
      <c r="I316" s="78">
        <v>-1.1499999999999999</v>
      </c>
      <c r="J316" s="79"/>
      <c r="K316" s="8">
        <v>0.02</v>
      </c>
      <c r="L316" s="9">
        <v>-1.1499999999999999</v>
      </c>
      <c r="M316" s="10">
        <v>14.62</v>
      </c>
      <c r="N316" s="9">
        <v>-43.16</v>
      </c>
      <c r="O316" s="14">
        <v>0.60069444444444442</v>
      </c>
      <c r="P316" s="18"/>
    </row>
    <row r="317" spans="1:16" ht="17" thickBot="1" x14ac:dyDescent="0.25">
      <c r="A317" s="35" t="s">
        <v>322</v>
      </c>
      <c r="B317" s="36">
        <v>403.1</v>
      </c>
      <c r="C317" s="54">
        <v>0.22</v>
      </c>
      <c r="D317" s="48">
        <v>0.02</v>
      </c>
      <c r="E317" s="53">
        <v>1.26</v>
      </c>
      <c r="F317" s="49">
        <v>-4.37</v>
      </c>
      <c r="G317" s="55">
        <v>-21.21</v>
      </c>
      <c r="H317" s="51">
        <v>1101518</v>
      </c>
      <c r="I317" s="78">
        <v>-0.51</v>
      </c>
      <c r="J317" s="79"/>
      <c r="K317" s="8">
        <v>0.02</v>
      </c>
      <c r="L317" s="9">
        <v>-1.83</v>
      </c>
      <c r="M317" s="10">
        <v>0</v>
      </c>
      <c r="N317" s="9">
        <v>-11.61</v>
      </c>
      <c r="O317" s="14">
        <v>0.60138888888888886</v>
      </c>
      <c r="P317" s="18"/>
    </row>
    <row r="318" spans="1:16" ht="17" thickBot="1" x14ac:dyDescent="0.25">
      <c r="A318" s="35" t="s">
        <v>323</v>
      </c>
      <c r="B318" s="36">
        <v>3019</v>
      </c>
      <c r="C318" s="47">
        <v>-0.53</v>
      </c>
      <c r="D318" s="48">
        <v>2.06</v>
      </c>
      <c r="E318" s="53">
        <v>2.1</v>
      </c>
      <c r="F318" s="53">
        <v>7.82</v>
      </c>
      <c r="G318" s="50">
        <v>24.6</v>
      </c>
      <c r="H318" s="68">
        <v>0</v>
      </c>
      <c r="I318" s="69">
        <v>0.22</v>
      </c>
      <c r="J318" s="70"/>
      <c r="K318" s="8">
        <v>0.02</v>
      </c>
      <c r="L318" s="10">
        <v>1.26</v>
      </c>
      <c r="M318" s="9">
        <v>-4.37</v>
      </c>
      <c r="N318" s="9">
        <v>-21.21</v>
      </c>
      <c r="O318" s="14">
        <v>0.60138888888888886</v>
      </c>
      <c r="P318" s="18"/>
    </row>
    <row r="319" spans="1:16" ht="17" thickBot="1" x14ac:dyDescent="0.25">
      <c r="A319" s="35" t="s">
        <v>324</v>
      </c>
      <c r="B319" s="36">
        <v>219.7</v>
      </c>
      <c r="C319" s="54">
        <v>0.78</v>
      </c>
      <c r="D319" s="48">
        <v>0.02</v>
      </c>
      <c r="E319" s="53">
        <v>0.92</v>
      </c>
      <c r="F319" s="49">
        <v>-0.88</v>
      </c>
      <c r="G319" s="50">
        <v>32.93</v>
      </c>
      <c r="H319" s="51">
        <v>1101666</v>
      </c>
      <c r="I319" s="78">
        <v>-0.53</v>
      </c>
      <c r="J319" s="79"/>
      <c r="K319" s="8">
        <v>2.06</v>
      </c>
      <c r="L319" s="10">
        <v>2.1</v>
      </c>
      <c r="M319" s="10">
        <v>7.82</v>
      </c>
      <c r="N319" s="10">
        <v>24.6</v>
      </c>
      <c r="O319" s="14">
        <v>0.60138888888888886</v>
      </c>
      <c r="P319" s="18"/>
    </row>
    <row r="320" spans="1:16" ht="17" thickBot="1" x14ac:dyDescent="0.25">
      <c r="A320" s="35" t="s">
        <v>325</v>
      </c>
      <c r="B320" s="36">
        <v>1681</v>
      </c>
      <c r="C320" s="54">
        <v>0</v>
      </c>
      <c r="D320" s="48">
        <v>0</v>
      </c>
      <c r="E320" s="53">
        <v>0.6</v>
      </c>
      <c r="F320" s="49">
        <v>-0.71</v>
      </c>
      <c r="G320" s="50">
        <v>57.69</v>
      </c>
      <c r="H320" s="68">
        <v>0</v>
      </c>
      <c r="I320" s="69">
        <v>0.78</v>
      </c>
      <c r="J320" s="70"/>
      <c r="K320" s="8">
        <v>0.02</v>
      </c>
      <c r="L320" s="10">
        <v>0.92</v>
      </c>
      <c r="M320" s="9">
        <v>-0.88</v>
      </c>
      <c r="N320" s="10">
        <v>32.93</v>
      </c>
      <c r="O320" s="14">
        <v>0.60069444444444442</v>
      </c>
      <c r="P320" s="18"/>
    </row>
    <row r="321" spans="1:16" ht="17" thickBot="1" x14ac:dyDescent="0.25">
      <c r="A321" s="35" t="s">
        <v>326</v>
      </c>
      <c r="B321" s="36">
        <v>9694</v>
      </c>
      <c r="C321" s="47">
        <v>-0.09</v>
      </c>
      <c r="D321" s="48">
        <v>0.01</v>
      </c>
      <c r="E321" s="53">
        <v>4.6399999999999997</v>
      </c>
      <c r="F321" s="53">
        <v>15.09</v>
      </c>
      <c r="G321" s="50">
        <v>44.17</v>
      </c>
      <c r="H321" s="68">
        <v>0</v>
      </c>
      <c r="I321" s="69"/>
      <c r="J321" s="70"/>
      <c r="K321" s="8">
        <v>0</v>
      </c>
      <c r="L321" s="10">
        <v>0.6</v>
      </c>
      <c r="M321" s="9">
        <v>-0.71</v>
      </c>
      <c r="N321" s="10">
        <v>57.69</v>
      </c>
      <c r="O321" s="14">
        <v>0.60138888888888886</v>
      </c>
      <c r="P321" s="18"/>
    </row>
    <row r="322" spans="1:16" ht="17" thickBot="1" x14ac:dyDescent="0.25">
      <c r="A322" s="35" t="s">
        <v>327</v>
      </c>
      <c r="B322" s="36">
        <v>665.3</v>
      </c>
      <c r="C322" s="54">
        <v>1.91</v>
      </c>
      <c r="D322" s="48">
        <v>0</v>
      </c>
      <c r="E322" s="53">
        <v>1.93</v>
      </c>
      <c r="F322" s="49">
        <v>-1.28</v>
      </c>
      <c r="G322" s="55">
        <v>-9.4</v>
      </c>
      <c r="H322" s="68">
        <v>0</v>
      </c>
      <c r="I322" s="78">
        <v>-0.09</v>
      </c>
      <c r="J322" s="79"/>
      <c r="K322" s="8">
        <v>0.01</v>
      </c>
      <c r="L322" s="10">
        <v>4.6399999999999997</v>
      </c>
      <c r="M322" s="10">
        <v>15.09</v>
      </c>
      <c r="N322" s="10">
        <v>44.17</v>
      </c>
      <c r="O322" s="14">
        <v>0.60138888888888886</v>
      </c>
      <c r="P322" s="18"/>
    </row>
    <row r="323" spans="1:16" ht="17" thickBot="1" x14ac:dyDescent="0.25">
      <c r="A323" s="35" t="s">
        <v>328</v>
      </c>
      <c r="B323" s="36">
        <v>118</v>
      </c>
      <c r="C323" s="54">
        <v>0.25</v>
      </c>
      <c r="D323" s="48">
        <v>0.21</v>
      </c>
      <c r="E323" s="49">
        <v>-0.08</v>
      </c>
      <c r="F323" s="49">
        <v>-1.5</v>
      </c>
      <c r="G323" s="55">
        <v>-17.420000000000002</v>
      </c>
      <c r="H323" s="68">
        <v>0</v>
      </c>
      <c r="I323" s="69">
        <v>1.91</v>
      </c>
      <c r="J323" s="70"/>
      <c r="K323" s="8">
        <v>0</v>
      </c>
      <c r="L323" s="10">
        <v>1.93</v>
      </c>
      <c r="M323" s="9">
        <v>-1.28</v>
      </c>
      <c r="N323" s="9">
        <v>-9.4</v>
      </c>
      <c r="O323" s="14">
        <v>0.60069444444444442</v>
      </c>
      <c r="P323" s="18"/>
    </row>
    <row r="324" spans="1:16" ht="17" thickBot="1" x14ac:dyDescent="0.25">
      <c r="A324" s="35" t="s">
        <v>329</v>
      </c>
      <c r="B324" s="36">
        <v>1052</v>
      </c>
      <c r="C324" s="54">
        <v>0</v>
      </c>
      <c r="D324" s="48">
        <v>0</v>
      </c>
      <c r="E324" s="53">
        <v>0</v>
      </c>
      <c r="F324" s="49">
        <v>-5.48</v>
      </c>
      <c r="G324" s="50">
        <v>23.81</v>
      </c>
      <c r="H324" s="68">
        <v>0</v>
      </c>
      <c r="I324" s="69">
        <v>0.25</v>
      </c>
      <c r="J324" s="70"/>
      <c r="K324" s="8">
        <v>0.21</v>
      </c>
      <c r="L324" s="9">
        <v>-0.08</v>
      </c>
      <c r="M324" s="9">
        <v>-1.5</v>
      </c>
      <c r="N324" s="9">
        <v>-17.420000000000002</v>
      </c>
      <c r="O324" s="14">
        <v>0.60138888888888886</v>
      </c>
      <c r="P324" s="18"/>
    </row>
    <row r="325" spans="1:16" ht="17" thickBot="1" x14ac:dyDescent="0.25">
      <c r="A325" s="35" t="s">
        <v>330</v>
      </c>
      <c r="B325" s="36">
        <v>5</v>
      </c>
      <c r="C325" s="47">
        <v>-5.66</v>
      </c>
      <c r="D325" s="48">
        <v>0.33</v>
      </c>
      <c r="E325" s="49">
        <v>-49.49</v>
      </c>
      <c r="F325" s="49">
        <v>-50.5</v>
      </c>
      <c r="G325" s="55">
        <v>-82.99</v>
      </c>
      <c r="H325" s="68">
        <v>0</v>
      </c>
      <c r="I325" s="69"/>
      <c r="J325" s="70"/>
      <c r="K325" s="8">
        <v>0</v>
      </c>
      <c r="L325" s="10">
        <v>0</v>
      </c>
      <c r="M325" s="9">
        <v>-5.48</v>
      </c>
      <c r="N325" s="10">
        <v>23.81</v>
      </c>
      <c r="O325" s="14">
        <v>0.60069444444444442</v>
      </c>
      <c r="P325" s="18"/>
    </row>
    <row r="326" spans="1:16" ht="17" thickBot="1" x14ac:dyDescent="0.25">
      <c r="A326" s="35" t="s">
        <v>331</v>
      </c>
      <c r="B326" s="36">
        <v>2190</v>
      </c>
      <c r="C326" s="47">
        <v>-2.06</v>
      </c>
      <c r="D326" s="48">
        <v>0.02</v>
      </c>
      <c r="E326" s="49">
        <v>-0.09</v>
      </c>
      <c r="F326" s="49">
        <v>-6.53</v>
      </c>
      <c r="G326" s="50">
        <v>21.66</v>
      </c>
      <c r="H326" s="68">
        <v>0</v>
      </c>
      <c r="I326" s="78">
        <v>-5.66</v>
      </c>
      <c r="J326" s="79"/>
      <c r="K326" s="8">
        <v>0.33</v>
      </c>
      <c r="L326" s="9">
        <v>-49.49</v>
      </c>
      <c r="M326" s="9">
        <v>-50.5</v>
      </c>
      <c r="N326" s="9">
        <v>-82.99</v>
      </c>
      <c r="O326" s="14">
        <v>0.60138888888888886</v>
      </c>
      <c r="P326" s="18"/>
    </row>
    <row r="327" spans="1:16" ht="17" thickBot="1" x14ac:dyDescent="0.25">
      <c r="A327" s="35" t="s">
        <v>332</v>
      </c>
      <c r="B327" s="36">
        <v>2666</v>
      </c>
      <c r="C327" s="54">
        <v>0.6</v>
      </c>
      <c r="D327" s="48">
        <v>0.01</v>
      </c>
      <c r="E327" s="53">
        <v>0.6</v>
      </c>
      <c r="F327" s="53">
        <v>1.33</v>
      </c>
      <c r="G327" s="50">
        <v>83.61</v>
      </c>
      <c r="H327" s="68">
        <v>0</v>
      </c>
      <c r="I327" s="78">
        <v>-2.06</v>
      </c>
      <c r="J327" s="79"/>
      <c r="K327" s="8">
        <v>0.02</v>
      </c>
      <c r="L327" s="9">
        <v>-0.09</v>
      </c>
      <c r="M327" s="9">
        <v>-6.53</v>
      </c>
      <c r="N327" s="10">
        <v>21.66</v>
      </c>
      <c r="O327" s="14">
        <v>0.60069444444444442</v>
      </c>
      <c r="P327" s="18"/>
    </row>
    <row r="328" spans="1:16" ht="17" thickBot="1" x14ac:dyDescent="0.25">
      <c r="A328" s="35" t="s">
        <v>333</v>
      </c>
      <c r="B328" s="36">
        <v>27.5</v>
      </c>
      <c r="C328" s="47">
        <v>-0.36</v>
      </c>
      <c r="D328" s="48">
        <v>0.01</v>
      </c>
      <c r="E328" s="53">
        <v>0.73</v>
      </c>
      <c r="F328" s="49">
        <v>-4.51</v>
      </c>
      <c r="G328" s="55">
        <v>-11.86</v>
      </c>
      <c r="H328" s="68">
        <v>0</v>
      </c>
      <c r="I328" s="69">
        <v>0.6</v>
      </c>
      <c r="J328" s="70"/>
      <c r="K328" s="8">
        <v>0.01</v>
      </c>
      <c r="L328" s="10">
        <v>0.6</v>
      </c>
      <c r="M328" s="10">
        <v>1.33</v>
      </c>
      <c r="N328" s="10">
        <v>83.61</v>
      </c>
      <c r="O328" s="14">
        <v>0.60138888888888886</v>
      </c>
      <c r="P328" s="18"/>
    </row>
    <row r="329" spans="1:16" ht="17" customHeight="1" thickBot="1" x14ac:dyDescent="0.25">
      <c r="A329" s="35" t="s">
        <v>334</v>
      </c>
      <c r="B329" s="36">
        <v>883.2</v>
      </c>
      <c r="C329" s="54">
        <v>1.21</v>
      </c>
      <c r="D329" s="48">
        <v>0.1</v>
      </c>
      <c r="E329" s="53">
        <v>4.08</v>
      </c>
      <c r="F329" s="53">
        <v>6.15</v>
      </c>
      <c r="G329" s="50">
        <v>22.8</v>
      </c>
      <c r="H329" s="68">
        <v>0</v>
      </c>
      <c r="I329" s="78">
        <v>-0.36</v>
      </c>
      <c r="J329" s="79"/>
      <c r="K329" s="8">
        <v>0.01</v>
      </c>
      <c r="L329" s="10">
        <v>0.73</v>
      </c>
      <c r="M329" s="9">
        <v>-4.51</v>
      </c>
      <c r="N329" s="9">
        <v>-11.86</v>
      </c>
      <c r="O329" s="14">
        <v>0.60138888888888886</v>
      </c>
      <c r="P329" s="18"/>
    </row>
    <row r="330" spans="1:16" ht="17" thickBot="1" x14ac:dyDescent="0.25">
      <c r="A330" s="35" t="s">
        <v>335</v>
      </c>
      <c r="B330" s="36">
        <v>1330</v>
      </c>
      <c r="C330" s="47">
        <v>-0.67</v>
      </c>
      <c r="D330" s="48">
        <v>0</v>
      </c>
      <c r="E330" s="49">
        <v>-4.8</v>
      </c>
      <c r="F330" s="49">
        <v>-5.67</v>
      </c>
      <c r="G330" s="50">
        <v>54.33</v>
      </c>
      <c r="H330" s="68">
        <v>0</v>
      </c>
      <c r="I330" s="69">
        <v>1.21</v>
      </c>
      <c r="J330" s="70"/>
      <c r="K330" s="8">
        <v>0.1</v>
      </c>
      <c r="L330" s="10">
        <v>4.08</v>
      </c>
      <c r="M330" s="10">
        <v>6.15</v>
      </c>
      <c r="N330" s="10">
        <v>22.8</v>
      </c>
      <c r="O330" s="14">
        <v>0.60138888888888886</v>
      </c>
      <c r="P330" s="18"/>
    </row>
    <row r="331" spans="1:16" ht="17" thickBot="1" x14ac:dyDescent="0.25">
      <c r="A331" s="35" t="s">
        <v>336</v>
      </c>
      <c r="B331" s="36">
        <v>15300</v>
      </c>
      <c r="C331" s="47">
        <v>-0.57999999999999996</v>
      </c>
      <c r="D331" s="48">
        <v>0.47</v>
      </c>
      <c r="E331" s="49">
        <v>-0.78</v>
      </c>
      <c r="F331" s="53">
        <v>0.99</v>
      </c>
      <c r="G331" s="55">
        <v>-12.95</v>
      </c>
      <c r="H331" s="68">
        <v>0</v>
      </c>
      <c r="I331" s="78">
        <v>-0.67</v>
      </c>
      <c r="J331" s="79"/>
      <c r="K331" s="8">
        <v>0</v>
      </c>
      <c r="L331" s="9">
        <v>-4.8</v>
      </c>
      <c r="M331" s="9">
        <v>-5.67</v>
      </c>
      <c r="N331" s="10">
        <v>54.33</v>
      </c>
      <c r="O331" s="14">
        <v>0.60069444444444442</v>
      </c>
      <c r="P331" s="18"/>
    </row>
    <row r="332" spans="1:16" ht="17" thickBot="1" x14ac:dyDescent="0.25">
      <c r="A332" s="35" t="s">
        <v>337</v>
      </c>
      <c r="B332" s="36">
        <v>300.8</v>
      </c>
      <c r="C332" s="54">
        <v>0.4</v>
      </c>
      <c r="D332" s="48">
        <v>0.03</v>
      </c>
      <c r="E332" s="53">
        <v>0.2</v>
      </c>
      <c r="F332" s="53">
        <v>2.84</v>
      </c>
      <c r="G332" s="55">
        <v>-7.45</v>
      </c>
      <c r="H332" s="68">
        <v>0</v>
      </c>
      <c r="I332" s="78">
        <v>-0.57999999999999996</v>
      </c>
      <c r="J332" s="79"/>
      <c r="K332" s="8">
        <v>0.47</v>
      </c>
      <c r="L332" s="9">
        <v>-0.78</v>
      </c>
      <c r="M332" s="10">
        <v>0.99</v>
      </c>
      <c r="N332" s="9">
        <v>-12.95</v>
      </c>
      <c r="O332" s="14">
        <v>0.60138888888888886</v>
      </c>
      <c r="P332" s="18"/>
    </row>
    <row r="333" spans="1:16" ht="17" thickBot="1" x14ac:dyDescent="0.25">
      <c r="A333" s="35" t="s">
        <v>338</v>
      </c>
      <c r="B333" s="36">
        <v>209.8</v>
      </c>
      <c r="C333" s="54">
        <v>0</v>
      </c>
      <c r="D333" s="48">
        <v>0</v>
      </c>
      <c r="E333" s="53">
        <v>0.72</v>
      </c>
      <c r="F333" s="49">
        <v>-1.46</v>
      </c>
      <c r="G333" s="50">
        <v>22.94</v>
      </c>
      <c r="H333" s="68">
        <v>0</v>
      </c>
      <c r="I333" s="69">
        <v>0.4</v>
      </c>
      <c r="J333" s="70"/>
      <c r="K333" s="8">
        <v>0.03</v>
      </c>
      <c r="L333" s="10">
        <v>0.2</v>
      </c>
      <c r="M333" s="10">
        <v>2.84</v>
      </c>
      <c r="N333" s="9">
        <v>-7.45</v>
      </c>
      <c r="O333" s="14">
        <v>0.60138888888888886</v>
      </c>
      <c r="P333" s="18"/>
    </row>
    <row r="334" spans="1:16" ht="17" thickBot="1" x14ac:dyDescent="0.25">
      <c r="A334" s="35" t="s">
        <v>339</v>
      </c>
      <c r="B334" s="36">
        <v>2987</v>
      </c>
      <c r="C334" s="54">
        <v>0.44</v>
      </c>
      <c r="D334" s="48">
        <v>0.43</v>
      </c>
      <c r="E334" s="53">
        <v>1.32</v>
      </c>
      <c r="F334" s="53">
        <v>4.22</v>
      </c>
      <c r="G334" s="50">
        <v>54.67</v>
      </c>
      <c r="H334" s="68">
        <v>0</v>
      </c>
      <c r="I334" s="69"/>
      <c r="J334" s="70"/>
      <c r="K334" s="8">
        <v>0</v>
      </c>
      <c r="L334" s="10">
        <v>0.72</v>
      </c>
      <c r="M334" s="9">
        <v>-1.46</v>
      </c>
      <c r="N334" s="10">
        <v>22.94</v>
      </c>
      <c r="O334" s="14">
        <v>0.60138888888888886</v>
      </c>
      <c r="P334" s="18"/>
    </row>
    <row r="335" spans="1:16" ht="17" thickBot="1" x14ac:dyDescent="0.25">
      <c r="A335" s="35" t="s">
        <v>340</v>
      </c>
      <c r="B335" s="36">
        <v>272.39999999999998</v>
      </c>
      <c r="C335" s="54">
        <v>0.18</v>
      </c>
      <c r="D335" s="48">
        <v>0.02</v>
      </c>
      <c r="E335" s="53">
        <v>2.79</v>
      </c>
      <c r="F335" s="53">
        <v>1.64</v>
      </c>
      <c r="G335" s="50">
        <v>39.75</v>
      </c>
      <c r="H335" s="68">
        <v>0</v>
      </c>
      <c r="I335" s="69">
        <v>0.44</v>
      </c>
      <c r="J335" s="70"/>
      <c r="K335" s="8">
        <v>0.43</v>
      </c>
      <c r="L335" s="10">
        <v>1.32</v>
      </c>
      <c r="M335" s="10">
        <v>4.22</v>
      </c>
      <c r="N335" s="10">
        <v>54.67</v>
      </c>
      <c r="O335" s="14">
        <v>0.60069444444444442</v>
      </c>
      <c r="P335" s="18"/>
    </row>
    <row r="336" spans="1:16" ht="17" thickBot="1" x14ac:dyDescent="0.25">
      <c r="A336" s="35" t="s">
        <v>341</v>
      </c>
      <c r="B336" s="36">
        <v>369.4</v>
      </c>
      <c r="C336" s="47">
        <v>-2.79</v>
      </c>
      <c r="D336" s="48">
        <v>0.01</v>
      </c>
      <c r="E336" s="49">
        <v>-2.79</v>
      </c>
      <c r="F336" s="49">
        <v>-4.25</v>
      </c>
      <c r="G336" s="55">
        <v>-0.97</v>
      </c>
      <c r="H336" s="68">
        <v>0</v>
      </c>
      <c r="I336" s="69">
        <v>0.18</v>
      </c>
      <c r="J336" s="70"/>
      <c r="K336" s="8">
        <v>0.02</v>
      </c>
      <c r="L336" s="10">
        <v>2.79</v>
      </c>
      <c r="M336" s="10">
        <v>1.64</v>
      </c>
      <c r="N336" s="10">
        <v>39.75</v>
      </c>
      <c r="O336" s="14">
        <v>0.60069444444444442</v>
      </c>
      <c r="P336" s="18"/>
    </row>
    <row r="337" spans="1:16" ht="17" thickBot="1" x14ac:dyDescent="0.25">
      <c r="A337" s="35" t="s">
        <v>342</v>
      </c>
      <c r="B337" s="36">
        <v>626</v>
      </c>
      <c r="C337" s="54">
        <v>9</v>
      </c>
      <c r="D337" s="48">
        <v>0.05</v>
      </c>
      <c r="E337" s="49">
        <v>-3.93</v>
      </c>
      <c r="F337" s="53">
        <v>62.85</v>
      </c>
      <c r="G337" s="50">
        <v>190.35</v>
      </c>
      <c r="H337" s="68">
        <v>0</v>
      </c>
      <c r="I337" s="78">
        <v>-2.79</v>
      </c>
      <c r="J337" s="79"/>
      <c r="K337" s="8">
        <v>0.01</v>
      </c>
      <c r="L337" s="9">
        <v>-2.79</v>
      </c>
      <c r="M337" s="9">
        <v>-4.25</v>
      </c>
      <c r="N337" s="9">
        <v>-0.97</v>
      </c>
      <c r="O337" s="14">
        <v>0.60138888888888886</v>
      </c>
      <c r="P337" s="18"/>
    </row>
    <row r="338" spans="1:16" ht="17" thickBot="1" x14ac:dyDescent="0.25">
      <c r="A338" s="35" t="s">
        <v>343</v>
      </c>
      <c r="B338" s="36">
        <v>327.60000000000002</v>
      </c>
      <c r="C338" s="54">
        <v>0.12</v>
      </c>
      <c r="D338" s="48">
        <v>0.03</v>
      </c>
      <c r="E338" s="53">
        <v>4.43</v>
      </c>
      <c r="F338" s="53">
        <v>11.58</v>
      </c>
      <c r="G338" s="55">
        <v>-1.8</v>
      </c>
      <c r="H338" s="68">
        <v>0</v>
      </c>
      <c r="I338" s="69">
        <v>9</v>
      </c>
      <c r="J338" s="70"/>
      <c r="K338" s="8">
        <v>0.05</v>
      </c>
      <c r="L338" s="9">
        <v>-3.93</v>
      </c>
      <c r="M338" s="10">
        <v>62.85</v>
      </c>
      <c r="N338" s="10">
        <v>190.35</v>
      </c>
      <c r="O338" s="14">
        <v>0.60069444444444442</v>
      </c>
      <c r="P338" s="18"/>
    </row>
    <row r="339" spans="1:16" ht="17" thickBot="1" x14ac:dyDescent="0.25">
      <c r="A339" s="35" t="s">
        <v>344</v>
      </c>
      <c r="B339" s="36">
        <v>948.3</v>
      </c>
      <c r="C339" s="54">
        <v>0</v>
      </c>
      <c r="D339" s="48">
        <v>0</v>
      </c>
      <c r="E339" s="53">
        <v>0.01</v>
      </c>
      <c r="F339" s="49">
        <v>-2.2400000000000002</v>
      </c>
      <c r="G339" s="55">
        <v>-3.72</v>
      </c>
      <c r="H339" s="68">
        <v>0</v>
      </c>
      <c r="I339" s="69">
        <v>0.12</v>
      </c>
      <c r="J339" s="70"/>
      <c r="K339" s="8">
        <v>0.03</v>
      </c>
      <c r="L339" s="10">
        <v>4.43</v>
      </c>
      <c r="M339" s="10">
        <v>11.58</v>
      </c>
      <c r="N339" s="9">
        <v>-1.8</v>
      </c>
      <c r="O339" s="14">
        <v>0.60069444444444442</v>
      </c>
      <c r="P339" s="18"/>
    </row>
    <row r="340" spans="1:16" ht="17" thickBot="1" x14ac:dyDescent="0.25">
      <c r="A340" s="35" t="s">
        <v>345</v>
      </c>
      <c r="B340" s="36">
        <v>2369</v>
      </c>
      <c r="C340" s="54">
        <v>0</v>
      </c>
      <c r="D340" s="48">
        <v>0.25</v>
      </c>
      <c r="E340" s="53">
        <v>1.5</v>
      </c>
      <c r="F340" s="53">
        <v>0.85</v>
      </c>
      <c r="G340" s="55">
        <v>-23.88</v>
      </c>
      <c r="H340" s="68">
        <v>0</v>
      </c>
      <c r="I340" s="69"/>
      <c r="J340" s="70"/>
      <c r="K340" s="8">
        <v>0</v>
      </c>
      <c r="L340" s="10">
        <v>0.01</v>
      </c>
      <c r="M340" s="9">
        <v>-2.2400000000000002</v>
      </c>
      <c r="N340" s="9">
        <v>-3.72</v>
      </c>
      <c r="O340" s="14">
        <v>0.60138888888888886</v>
      </c>
      <c r="P340" s="18"/>
    </row>
    <row r="341" spans="1:16" ht="17" thickBot="1" x14ac:dyDescent="0.25">
      <c r="A341" s="35" t="s">
        <v>346</v>
      </c>
      <c r="B341" s="36">
        <v>4169</v>
      </c>
      <c r="C341" s="47">
        <v>-2.16</v>
      </c>
      <c r="D341" s="48">
        <v>0.05</v>
      </c>
      <c r="E341" s="49">
        <v>-1.91</v>
      </c>
      <c r="F341" s="53">
        <v>0.63</v>
      </c>
      <c r="G341" s="50">
        <v>30.28</v>
      </c>
      <c r="H341" s="68">
        <v>0</v>
      </c>
      <c r="I341" s="69"/>
      <c r="J341" s="70"/>
      <c r="K341" s="8">
        <v>0.25</v>
      </c>
      <c r="L341" s="10">
        <v>1.5</v>
      </c>
      <c r="M341" s="10">
        <v>0.85</v>
      </c>
      <c r="N341" s="9">
        <v>-23.88</v>
      </c>
      <c r="O341" s="14">
        <v>0.60138888888888886</v>
      </c>
      <c r="P341" s="18"/>
    </row>
    <row r="342" spans="1:16" ht="17" thickBot="1" x14ac:dyDescent="0.25">
      <c r="A342" s="35" t="s">
        <v>347</v>
      </c>
      <c r="B342" s="36">
        <v>206.4</v>
      </c>
      <c r="C342" s="54">
        <v>0</v>
      </c>
      <c r="D342" s="48">
        <v>0</v>
      </c>
      <c r="E342" s="53">
        <v>0</v>
      </c>
      <c r="F342" s="53">
        <v>0</v>
      </c>
      <c r="G342" s="55">
        <v>-4.71</v>
      </c>
      <c r="H342" s="68">
        <v>0</v>
      </c>
      <c r="I342" s="78">
        <v>-2.16</v>
      </c>
      <c r="J342" s="79"/>
      <c r="K342" s="8">
        <v>0.05</v>
      </c>
      <c r="L342" s="9">
        <v>-1.91</v>
      </c>
      <c r="M342" s="10">
        <v>0.63</v>
      </c>
      <c r="N342" s="10">
        <v>30.28</v>
      </c>
      <c r="O342" s="14">
        <v>0.60138888888888886</v>
      </c>
      <c r="P342" s="18"/>
    </row>
    <row r="343" spans="1:16" ht="17" thickBot="1" x14ac:dyDescent="0.25">
      <c r="A343" s="35" t="s">
        <v>348</v>
      </c>
      <c r="B343" s="36">
        <v>674.6</v>
      </c>
      <c r="C343" s="47">
        <v>-0.31</v>
      </c>
      <c r="D343" s="48">
        <v>1.1000000000000001</v>
      </c>
      <c r="E343" s="53">
        <v>11.23</v>
      </c>
      <c r="F343" s="53">
        <v>8.2799999999999994</v>
      </c>
      <c r="G343" s="50">
        <v>33.96</v>
      </c>
      <c r="H343" s="68">
        <v>0</v>
      </c>
      <c r="I343" s="69"/>
      <c r="J343" s="70"/>
      <c r="K343" s="8">
        <v>0</v>
      </c>
      <c r="L343" s="10">
        <v>0</v>
      </c>
      <c r="M343" s="10">
        <v>0</v>
      </c>
      <c r="N343" s="9">
        <v>-4.71</v>
      </c>
      <c r="O343" s="14">
        <v>0.60138888888888886</v>
      </c>
      <c r="P343" s="18"/>
    </row>
    <row r="344" spans="1:16" ht="17" thickBot="1" x14ac:dyDescent="0.25">
      <c r="A344" s="35" t="s">
        <v>349</v>
      </c>
      <c r="B344" s="36">
        <v>36.5</v>
      </c>
      <c r="C344" s="54">
        <v>0.55000000000000004</v>
      </c>
      <c r="D344" s="48">
        <v>0.04</v>
      </c>
      <c r="E344" s="49">
        <v>-1.08</v>
      </c>
      <c r="F344" s="53">
        <v>0.55000000000000004</v>
      </c>
      <c r="G344" s="55">
        <v>-6.17</v>
      </c>
      <c r="H344" s="68">
        <v>0</v>
      </c>
      <c r="I344" s="78">
        <v>-0.31</v>
      </c>
      <c r="J344" s="79"/>
      <c r="K344" s="8">
        <v>1.1000000000000001</v>
      </c>
      <c r="L344" s="10">
        <v>11.23</v>
      </c>
      <c r="M344" s="10">
        <v>8.2799999999999994</v>
      </c>
      <c r="N344" s="10">
        <v>33.96</v>
      </c>
      <c r="O344" s="14">
        <v>0.60138888888888886</v>
      </c>
      <c r="P344" s="18"/>
    </row>
    <row r="345" spans="1:16" ht="17" thickBot="1" x14ac:dyDescent="0.25">
      <c r="A345" s="35" t="s">
        <v>350</v>
      </c>
      <c r="B345" s="36">
        <v>53.2</v>
      </c>
      <c r="C345" s="54">
        <v>0</v>
      </c>
      <c r="D345" s="48">
        <v>0</v>
      </c>
      <c r="E345" s="53">
        <v>7.69</v>
      </c>
      <c r="F345" s="53">
        <v>7.47</v>
      </c>
      <c r="G345" s="50">
        <v>52</v>
      </c>
      <c r="H345" s="68">
        <v>0</v>
      </c>
      <c r="I345" s="69">
        <v>0.55000000000000004</v>
      </c>
      <c r="J345" s="70"/>
      <c r="K345" s="8">
        <v>0.04</v>
      </c>
      <c r="L345" s="9">
        <v>-1.08</v>
      </c>
      <c r="M345" s="10">
        <v>0.55000000000000004</v>
      </c>
      <c r="N345" s="9">
        <v>-6.17</v>
      </c>
      <c r="O345" s="14">
        <v>0.60069444444444442</v>
      </c>
      <c r="P345" s="18"/>
    </row>
    <row r="346" spans="1:16" ht="17" thickBot="1" x14ac:dyDescent="0.25">
      <c r="A346" s="35" t="s">
        <v>351</v>
      </c>
      <c r="B346" s="36">
        <v>4433</v>
      </c>
      <c r="C346" s="47">
        <v>-1.23</v>
      </c>
      <c r="D346" s="48">
        <v>2.6</v>
      </c>
      <c r="E346" s="49">
        <v>-1.86</v>
      </c>
      <c r="F346" s="49">
        <v>-3.13</v>
      </c>
      <c r="G346" s="50">
        <v>125.03</v>
      </c>
      <c r="H346" s="68">
        <v>0</v>
      </c>
      <c r="I346" s="69"/>
      <c r="J346" s="70"/>
      <c r="K346" s="8">
        <v>0</v>
      </c>
      <c r="L346" s="10">
        <v>7.69</v>
      </c>
      <c r="M346" s="10">
        <v>7.47</v>
      </c>
      <c r="N346" s="10">
        <v>52</v>
      </c>
      <c r="O346" s="14">
        <v>0.60138888888888886</v>
      </c>
      <c r="P346" s="18"/>
    </row>
    <row r="347" spans="1:16" ht="17" customHeight="1" thickBot="1" x14ac:dyDescent="0.25">
      <c r="A347" s="35" t="s">
        <v>352</v>
      </c>
      <c r="B347" s="36">
        <v>8705</v>
      </c>
      <c r="C347" s="47">
        <v>-0.48</v>
      </c>
      <c r="D347" s="48">
        <v>0.46</v>
      </c>
      <c r="E347" s="53">
        <v>0.17</v>
      </c>
      <c r="F347" s="49">
        <v>-0.97</v>
      </c>
      <c r="G347" s="50">
        <v>0.35</v>
      </c>
      <c r="H347" s="68">
        <v>0</v>
      </c>
      <c r="I347" s="78">
        <v>-1.23</v>
      </c>
      <c r="J347" s="79"/>
      <c r="K347" s="8">
        <v>2.6</v>
      </c>
      <c r="L347" s="9">
        <v>-1.86</v>
      </c>
      <c r="M347" s="9">
        <v>-3.13</v>
      </c>
      <c r="N347" s="10">
        <v>125.03</v>
      </c>
      <c r="O347" s="14">
        <v>0.60069444444444442</v>
      </c>
      <c r="P347" s="18"/>
    </row>
    <row r="348" spans="1:16" ht="17" customHeight="1" thickBot="1" x14ac:dyDescent="0.25">
      <c r="A348" s="35" t="s">
        <v>353</v>
      </c>
      <c r="B348" s="36">
        <v>693.8</v>
      </c>
      <c r="C348" s="54">
        <v>0.41</v>
      </c>
      <c r="D348" s="48">
        <v>0.59</v>
      </c>
      <c r="E348" s="53">
        <v>1.58</v>
      </c>
      <c r="F348" s="53">
        <v>1.6</v>
      </c>
      <c r="G348" s="50">
        <v>30.88</v>
      </c>
      <c r="H348" s="68">
        <v>0</v>
      </c>
      <c r="I348" s="78">
        <v>-0.48</v>
      </c>
      <c r="J348" s="79"/>
      <c r="K348" s="8">
        <v>0.46</v>
      </c>
      <c r="L348" s="10">
        <v>0.17</v>
      </c>
      <c r="M348" s="9">
        <v>-0.97</v>
      </c>
      <c r="N348" s="10">
        <v>0.35</v>
      </c>
      <c r="O348" s="14">
        <v>0.60138888888888886</v>
      </c>
      <c r="P348" s="18"/>
    </row>
    <row r="349" spans="1:16" ht="17" thickBot="1" x14ac:dyDescent="0.25">
      <c r="A349" s="35" t="s">
        <v>354</v>
      </c>
      <c r="B349" s="36">
        <v>1027</v>
      </c>
      <c r="C349" s="54">
        <v>0.98</v>
      </c>
      <c r="D349" s="48">
        <v>0.01</v>
      </c>
      <c r="E349" s="53">
        <v>1.08</v>
      </c>
      <c r="F349" s="53">
        <v>1.58</v>
      </c>
      <c r="G349" s="50">
        <v>68.36</v>
      </c>
      <c r="H349" s="68">
        <v>0</v>
      </c>
      <c r="I349" s="69">
        <v>0.41</v>
      </c>
      <c r="J349" s="70"/>
      <c r="K349" s="8">
        <v>0.59</v>
      </c>
      <c r="L349" s="10">
        <v>1.58</v>
      </c>
      <c r="M349" s="10">
        <v>1.6</v>
      </c>
      <c r="N349" s="10">
        <v>30.88</v>
      </c>
      <c r="O349" s="14">
        <v>0.60069444444444442</v>
      </c>
      <c r="P349" s="18"/>
    </row>
    <row r="350" spans="1:16" ht="17" thickBot="1" x14ac:dyDescent="0.25">
      <c r="A350" s="35" t="s">
        <v>355</v>
      </c>
      <c r="B350" s="36">
        <v>1214</v>
      </c>
      <c r="C350" s="54">
        <v>0.91</v>
      </c>
      <c r="D350" s="48">
        <v>0.03</v>
      </c>
      <c r="E350" s="53">
        <v>1</v>
      </c>
      <c r="F350" s="53">
        <v>7.62</v>
      </c>
      <c r="G350" s="50">
        <v>37.65</v>
      </c>
      <c r="H350" s="68">
        <v>0</v>
      </c>
      <c r="I350" s="69">
        <v>0.98</v>
      </c>
      <c r="J350" s="70"/>
      <c r="K350" s="8">
        <v>0.01</v>
      </c>
      <c r="L350" s="10">
        <v>1.08</v>
      </c>
      <c r="M350" s="10">
        <v>1.58</v>
      </c>
      <c r="N350" s="10">
        <v>68.36</v>
      </c>
      <c r="O350" s="14">
        <v>0.60069444444444442</v>
      </c>
      <c r="P350" s="18"/>
    </row>
    <row r="351" spans="1:16" ht="17" thickBot="1" x14ac:dyDescent="0.25">
      <c r="A351" s="35" t="s">
        <v>356</v>
      </c>
      <c r="B351" s="36">
        <v>146</v>
      </c>
      <c r="C351" s="54">
        <v>0</v>
      </c>
      <c r="D351" s="48">
        <v>0.06</v>
      </c>
      <c r="E351" s="53">
        <v>0</v>
      </c>
      <c r="F351" s="49">
        <v>-2.0099999999999998</v>
      </c>
      <c r="G351" s="50">
        <v>0.14000000000000001</v>
      </c>
      <c r="H351" s="68">
        <v>0</v>
      </c>
      <c r="I351" s="69">
        <v>0.91</v>
      </c>
      <c r="J351" s="70"/>
      <c r="K351" s="8">
        <v>0.03</v>
      </c>
      <c r="L351" s="10">
        <v>1</v>
      </c>
      <c r="M351" s="10">
        <v>7.62</v>
      </c>
      <c r="N351" s="10">
        <v>37.65</v>
      </c>
      <c r="O351" s="14">
        <v>0.60069444444444442</v>
      </c>
      <c r="P351" s="18"/>
    </row>
    <row r="352" spans="1:16" ht="17" thickBot="1" x14ac:dyDescent="0.25">
      <c r="A352" s="35" t="s">
        <v>357</v>
      </c>
      <c r="B352" s="36">
        <v>6200</v>
      </c>
      <c r="C352" s="54">
        <v>0</v>
      </c>
      <c r="D352" s="48">
        <v>7.0000000000000007E-2</v>
      </c>
      <c r="E352" s="49">
        <v>-1.08</v>
      </c>
      <c r="F352" s="49">
        <v>-1.9</v>
      </c>
      <c r="G352" s="50">
        <v>5.51</v>
      </c>
      <c r="H352" s="68">
        <v>0</v>
      </c>
      <c r="I352" s="69"/>
      <c r="J352" s="70"/>
      <c r="K352" s="8">
        <v>0.06</v>
      </c>
      <c r="L352" s="10">
        <v>0</v>
      </c>
      <c r="M352" s="9">
        <v>-2.0099999999999998</v>
      </c>
      <c r="N352" s="10">
        <v>0.14000000000000001</v>
      </c>
      <c r="O352" s="14">
        <v>0.60069444444444442</v>
      </c>
      <c r="P352" s="18"/>
    </row>
    <row r="353" spans="1:16" ht="17" thickBot="1" x14ac:dyDescent="0.25">
      <c r="A353" s="35" t="s">
        <v>358</v>
      </c>
      <c r="B353" s="36">
        <v>1989</v>
      </c>
      <c r="C353" s="54">
        <v>0.4</v>
      </c>
      <c r="D353" s="48">
        <v>0.06</v>
      </c>
      <c r="E353" s="49">
        <v>-1.1399999999999999</v>
      </c>
      <c r="F353" s="49">
        <v>-9.0500000000000007</v>
      </c>
      <c r="G353" s="55">
        <v>-4.28</v>
      </c>
      <c r="H353" s="68">
        <v>0</v>
      </c>
      <c r="I353" s="69"/>
      <c r="J353" s="70"/>
      <c r="K353" s="8">
        <v>7.0000000000000007E-2</v>
      </c>
      <c r="L353" s="9">
        <v>-1.08</v>
      </c>
      <c r="M353" s="9">
        <v>-1.9</v>
      </c>
      <c r="N353" s="10">
        <v>5.51</v>
      </c>
      <c r="O353" s="14">
        <v>0.60138888888888886</v>
      </c>
      <c r="P353" s="18"/>
    </row>
    <row r="354" spans="1:16" ht="17" thickBot="1" x14ac:dyDescent="0.25">
      <c r="A354" s="35" t="s">
        <v>359</v>
      </c>
      <c r="B354" s="36">
        <v>179.5</v>
      </c>
      <c r="C354" s="54">
        <v>0</v>
      </c>
      <c r="D354" s="48">
        <v>0</v>
      </c>
      <c r="E354" s="53">
        <v>3.46</v>
      </c>
      <c r="F354" s="53">
        <v>4.3600000000000003</v>
      </c>
      <c r="G354" s="50">
        <v>19.79</v>
      </c>
      <c r="H354" s="68">
        <v>0</v>
      </c>
      <c r="I354" s="69">
        <v>0.4</v>
      </c>
      <c r="J354" s="70"/>
      <c r="K354" s="8">
        <v>0.06</v>
      </c>
      <c r="L354" s="9">
        <v>-1.1399999999999999</v>
      </c>
      <c r="M354" s="9">
        <v>-9.0500000000000007</v>
      </c>
      <c r="N354" s="9">
        <v>-4.28</v>
      </c>
      <c r="O354" s="14">
        <v>0.60069444444444442</v>
      </c>
      <c r="P354" s="18"/>
    </row>
    <row r="355" spans="1:16" ht="17" thickBot="1" x14ac:dyDescent="0.25">
      <c r="A355" s="35" t="s">
        <v>360</v>
      </c>
      <c r="B355" s="36">
        <v>187.4</v>
      </c>
      <c r="C355" s="54">
        <v>0</v>
      </c>
      <c r="D355" s="48">
        <v>0</v>
      </c>
      <c r="E355" s="53">
        <v>0</v>
      </c>
      <c r="F355" s="53">
        <v>0</v>
      </c>
      <c r="G355" s="50">
        <v>29.6</v>
      </c>
      <c r="H355" s="68">
        <v>0</v>
      </c>
      <c r="I355" s="69"/>
      <c r="J355" s="70"/>
      <c r="K355" s="8">
        <v>0</v>
      </c>
      <c r="L355" s="10">
        <v>3.46</v>
      </c>
      <c r="M355" s="10">
        <v>4.3600000000000003</v>
      </c>
      <c r="N355" s="10">
        <v>19.79</v>
      </c>
      <c r="O355" s="14">
        <v>0.60069444444444442</v>
      </c>
      <c r="P355" s="18"/>
    </row>
    <row r="356" spans="1:16" ht="17" thickBot="1" x14ac:dyDescent="0.25">
      <c r="A356" s="35" t="s">
        <v>361</v>
      </c>
      <c r="B356" s="36">
        <v>4594</v>
      </c>
      <c r="C356" s="54">
        <v>0.22</v>
      </c>
      <c r="D356" s="48">
        <v>0.03</v>
      </c>
      <c r="E356" s="53">
        <v>0.11</v>
      </c>
      <c r="F356" s="53">
        <v>4.43</v>
      </c>
      <c r="G356" s="50">
        <v>40.11</v>
      </c>
      <c r="H356" s="68">
        <v>0</v>
      </c>
      <c r="I356" s="69"/>
      <c r="J356" s="70"/>
      <c r="K356" s="8">
        <v>0</v>
      </c>
      <c r="L356" s="10">
        <v>0</v>
      </c>
      <c r="M356" s="10">
        <v>0</v>
      </c>
      <c r="N356" s="10">
        <v>29.6</v>
      </c>
      <c r="O356" s="14">
        <v>0.60069444444444442</v>
      </c>
      <c r="P356" s="18"/>
    </row>
    <row r="357" spans="1:16" ht="17" customHeight="1" thickBot="1" x14ac:dyDescent="0.25">
      <c r="A357" s="35" t="s">
        <v>362</v>
      </c>
      <c r="B357" s="36">
        <v>16360</v>
      </c>
      <c r="C357" s="54">
        <v>0.62</v>
      </c>
      <c r="D357" s="48">
        <v>7.3</v>
      </c>
      <c r="E357" s="53">
        <v>1.3</v>
      </c>
      <c r="F357" s="49">
        <v>-0.55000000000000004</v>
      </c>
      <c r="G357" s="50">
        <v>15.36</v>
      </c>
      <c r="H357" s="68">
        <v>0</v>
      </c>
      <c r="I357" s="69">
        <v>0.22</v>
      </c>
      <c r="J357" s="70"/>
      <c r="K357" s="8">
        <v>0.03</v>
      </c>
      <c r="L357" s="10">
        <v>0.11</v>
      </c>
      <c r="M357" s="10">
        <v>4.43</v>
      </c>
      <c r="N357" s="10">
        <v>40.11</v>
      </c>
      <c r="O357" s="14">
        <v>0.60069444444444442</v>
      </c>
      <c r="P357" s="18"/>
    </row>
    <row r="358" spans="1:16" ht="17" customHeight="1" thickBot="1" x14ac:dyDescent="0.25">
      <c r="A358" s="35" t="s">
        <v>363</v>
      </c>
      <c r="B358" s="36">
        <v>111.5</v>
      </c>
      <c r="C358" s="54">
        <v>0</v>
      </c>
      <c r="D358" s="48">
        <v>0</v>
      </c>
      <c r="E358" s="53">
        <v>0.81</v>
      </c>
      <c r="F358" s="53">
        <v>9.1</v>
      </c>
      <c r="G358" s="50">
        <v>4.99</v>
      </c>
      <c r="H358" s="68">
        <v>0</v>
      </c>
      <c r="I358" s="69">
        <v>0.62</v>
      </c>
      <c r="J358" s="70"/>
      <c r="K358" s="8">
        <v>7.3</v>
      </c>
      <c r="L358" s="10">
        <v>1.3</v>
      </c>
      <c r="M358" s="9">
        <v>-0.55000000000000004</v>
      </c>
      <c r="N358" s="10">
        <v>15.36</v>
      </c>
      <c r="O358" s="14">
        <v>0.60069444444444442</v>
      </c>
      <c r="P358" s="18"/>
    </row>
    <row r="359" spans="1:16" ht="17" thickBot="1" x14ac:dyDescent="0.25">
      <c r="A359" s="35" t="s">
        <v>364</v>
      </c>
      <c r="B359" s="36">
        <v>129.19999999999999</v>
      </c>
      <c r="C359" s="54">
        <v>0.54</v>
      </c>
      <c r="D359" s="48">
        <v>0.02</v>
      </c>
      <c r="E359" s="49">
        <v>-0.62</v>
      </c>
      <c r="F359" s="49">
        <v>-2.64</v>
      </c>
      <c r="G359" s="50">
        <v>12.64</v>
      </c>
      <c r="H359" s="68">
        <v>0</v>
      </c>
      <c r="I359" s="69"/>
      <c r="J359" s="70"/>
      <c r="K359" s="8">
        <v>0</v>
      </c>
      <c r="L359" s="10">
        <v>0.81</v>
      </c>
      <c r="M359" s="10">
        <v>9.1</v>
      </c>
      <c r="N359" s="10">
        <v>4.99</v>
      </c>
      <c r="O359" s="14">
        <v>0.60138888888888886</v>
      </c>
      <c r="P359" s="18"/>
    </row>
    <row r="360" spans="1:16" ht="17" customHeight="1" thickBot="1" x14ac:dyDescent="0.25">
      <c r="A360" s="35" t="s">
        <v>365</v>
      </c>
      <c r="B360" s="36">
        <v>103.8</v>
      </c>
      <c r="C360" s="54">
        <v>2.27</v>
      </c>
      <c r="D360" s="48">
        <v>0.03</v>
      </c>
      <c r="E360" s="53">
        <v>1.47</v>
      </c>
      <c r="F360" s="49">
        <v>-0.95</v>
      </c>
      <c r="G360" s="55">
        <v>-88.69</v>
      </c>
      <c r="H360" s="51">
        <v>1120161</v>
      </c>
      <c r="I360" s="69">
        <v>0.54</v>
      </c>
      <c r="J360" s="70"/>
      <c r="K360" s="8">
        <v>0.02</v>
      </c>
      <c r="L360" s="9">
        <v>-0.62</v>
      </c>
      <c r="M360" s="9">
        <v>-2.64</v>
      </c>
      <c r="N360" s="10">
        <v>12.64</v>
      </c>
      <c r="O360" s="14">
        <v>0.60138888888888886</v>
      </c>
      <c r="P360" s="18"/>
    </row>
    <row r="361" spans="1:16" ht="17" thickBot="1" x14ac:dyDescent="0.25">
      <c r="A361" s="35" t="s">
        <v>366</v>
      </c>
      <c r="B361" s="36">
        <v>194.4</v>
      </c>
      <c r="C361" s="54">
        <v>0.15</v>
      </c>
      <c r="D361" s="48">
        <v>0.17</v>
      </c>
      <c r="E361" s="49">
        <v>-3.67</v>
      </c>
      <c r="F361" s="49">
        <v>-9.1999999999999993</v>
      </c>
      <c r="G361" s="55">
        <v>-49.94</v>
      </c>
      <c r="H361" s="51">
        <v>1120609</v>
      </c>
      <c r="I361" s="69">
        <v>2.27</v>
      </c>
      <c r="J361" s="70"/>
      <c r="K361" s="8">
        <v>0.03</v>
      </c>
      <c r="L361" s="10">
        <v>1.47</v>
      </c>
      <c r="M361" s="9">
        <v>-0.95</v>
      </c>
      <c r="N361" s="9">
        <v>-88.69</v>
      </c>
      <c r="O361" s="14">
        <v>0.60138888888888886</v>
      </c>
      <c r="P361" s="18"/>
    </row>
    <row r="362" spans="1:16" ht="17" thickBot="1" x14ac:dyDescent="0.25">
      <c r="A362" s="35" t="s">
        <v>367</v>
      </c>
      <c r="B362" s="36">
        <v>9443</v>
      </c>
      <c r="C362" s="54">
        <v>0.44</v>
      </c>
      <c r="D362" s="48">
        <v>0.14000000000000001</v>
      </c>
      <c r="E362" s="49">
        <v>-0.99</v>
      </c>
      <c r="F362" s="49">
        <v>-5.76</v>
      </c>
      <c r="G362" s="50">
        <v>38.869999999999997</v>
      </c>
      <c r="H362" s="68">
        <v>0</v>
      </c>
      <c r="I362" s="69">
        <v>0.15</v>
      </c>
      <c r="J362" s="70"/>
      <c r="K362" s="8">
        <v>0.17</v>
      </c>
      <c r="L362" s="9">
        <v>-3.67</v>
      </c>
      <c r="M362" s="9">
        <v>-9.1999999999999993</v>
      </c>
      <c r="N362" s="9">
        <v>-49.94</v>
      </c>
      <c r="O362" s="14">
        <v>0.60069444444444442</v>
      </c>
      <c r="P362" s="18"/>
    </row>
    <row r="363" spans="1:16" ht="17" thickBot="1" x14ac:dyDescent="0.25">
      <c r="A363" s="35" t="s">
        <v>368</v>
      </c>
      <c r="B363" s="36">
        <v>153.9</v>
      </c>
      <c r="C363" s="54">
        <v>0</v>
      </c>
      <c r="D363" s="48">
        <v>0</v>
      </c>
      <c r="E363" s="49">
        <v>-1.1599999999999999</v>
      </c>
      <c r="F363" s="49">
        <v>-1.47</v>
      </c>
      <c r="G363" s="50">
        <v>137.76</v>
      </c>
      <c r="H363" s="68">
        <v>0</v>
      </c>
      <c r="I363" s="69">
        <v>0.44</v>
      </c>
      <c r="J363" s="70"/>
      <c r="K363" s="8">
        <v>0.14000000000000001</v>
      </c>
      <c r="L363" s="9">
        <v>-0.99</v>
      </c>
      <c r="M363" s="9">
        <v>-5.76</v>
      </c>
      <c r="N363" s="10">
        <v>38.869999999999997</v>
      </c>
      <c r="O363" s="14">
        <v>0.60138888888888886</v>
      </c>
      <c r="P363" s="18"/>
    </row>
    <row r="364" spans="1:16" ht="17" customHeight="1" thickBot="1" x14ac:dyDescent="0.25">
      <c r="A364" s="35" t="s">
        <v>369</v>
      </c>
      <c r="B364" s="36">
        <v>32320</v>
      </c>
      <c r="C364" s="47">
        <v>-0.06</v>
      </c>
      <c r="D364" s="48">
        <v>0.76</v>
      </c>
      <c r="E364" s="49">
        <v>-0.31</v>
      </c>
      <c r="F364" s="49">
        <v>-4.83</v>
      </c>
      <c r="G364" s="50">
        <v>34.93</v>
      </c>
      <c r="H364" s="68">
        <v>0</v>
      </c>
      <c r="I364" s="69"/>
      <c r="J364" s="70"/>
      <c r="K364" s="8">
        <v>0</v>
      </c>
      <c r="L364" s="9">
        <v>-1.1599999999999999</v>
      </c>
      <c r="M364" s="9">
        <v>-1.47</v>
      </c>
      <c r="N364" s="10">
        <v>137.76</v>
      </c>
      <c r="O364" s="14">
        <v>0.60069444444444442</v>
      </c>
      <c r="P364" s="18"/>
    </row>
    <row r="365" spans="1:16" ht="17" thickBot="1" x14ac:dyDescent="0.25">
      <c r="A365" s="35" t="s">
        <v>370</v>
      </c>
      <c r="B365" s="36">
        <v>575</v>
      </c>
      <c r="C365" s="54">
        <v>1.29</v>
      </c>
      <c r="D365" s="48">
        <v>0.16</v>
      </c>
      <c r="E365" s="53">
        <v>4.2</v>
      </c>
      <c r="F365" s="49">
        <v>-4.2300000000000004</v>
      </c>
      <c r="G365" s="50">
        <v>27.78</v>
      </c>
      <c r="H365" s="51">
        <v>1121730</v>
      </c>
      <c r="I365" s="78">
        <v>-0.06</v>
      </c>
      <c r="J365" s="79"/>
      <c r="K365" s="8">
        <v>0.76</v>
      </c>
      <c r="L365" s="9">
        <v>-0.31</v>
      </c>
      <c r="M365" s="9">
        <v>-4.83</v>
      </c>
      <c r="N365" s="10">
        <v>34.93</v>
      </c>
      <c r="O365" s="14">
        <v>0.60069444444444442</v>
      </c>
      <c r="P365" s="18"/>
    </row>
    <row r="366" spans="1:16" ht="17" thickBot="1" x14ac:dyDescent="0.25">
      <c r="A366" s="35" t="s">
        <v>371</v>
      </c>
      <c r="B366" s="36">
        <v>531.1</v>
      </c>
      <c r="C366" s="47">
        <v>-0.04</v>
      </c>
      <c r="D366" s="48">
        <v>0.17</v>
      </c>
      <c r="E366" s="49">
        <v>-1.06</v>
      </c>
      <c r="F366" s="49">
        <v>-3.8</v>
      </c>
      <c r="G366" s="50">
        <v>6.01</v>
      </c>
      <c r="H366" s="68">
        <v>0</v>
      </c>
      <c r="I366" s="69">
        <v>1.29</v>
      </c>
      <c r="J366" s="70"/>
      <c r="K366" s="8">
        <v>0.16</v>
      </c>
      <c r="L366" s="10">
        <v>4.2</v>
      </c>
      <c r="M366" s="9">
        <v>-4.2300000000000004</v>
      </c>
      <c r="N366" s="10">
        <v>27.78</v>
      </c>
      <c r="O366" s="14">
        <v>0.60138888888888886</v>
      </c>
      <c r="P366" s="18"/>
    </row>
    <row r="367" spans="1:16" ht="17" thickBot="1" x14ac:dyDescent="0.25">
      <c r="A367" s="35" t="s">
        <v>372</v>
      </c>
      <c r="B367" s="36">
        <v>29.9</v>
      </c>
      <c r="C367" s="54">
        <v>1.36</v>
      </c>
      <c r="D367" s="48">
        <v>0</v>
      </c>
      <c r="E367" s="53">
        <v>1.01</v>
      </c>
      <c r="F367" s="53">
        <v>0.67</v>
      </c>
      <c r="G367" s="55">
        <v>-43.47</v>
      </c>
      <c r="H367" s="68">
        <v>0</v>
      </c>
      <c r="I367" s="78">
        <v>-0.04</v>
      </c>
      <c r="J367" s="79"/>
      <c r="K367" s="8">
        <v>0.17</v>
      </c>
      <c r="L367" s="9">
        <v>-1.06</v>
      </c>
      <c r="M367" s="9">
        <v>-3.8</v>
      </c>
      <c r="N367" s="10">
        <v>6.01</v>
      </c>
      <c r="O367" s="14">
        <v>0.60138888888888886</v>
      </c>
      <c r="P367" s="18"/>
    </row>
    <row r="368" spans="1:16" ht="17" customHeight="1" thickBot="1" x14ac:dyDescent="0.25">
      <c r="A368" s="35" t="s">
        <v>373</v>
      </c>
      <c r="B368" s="36">
        <v>32.5</v>
      </c>
      <c r="C368" s="47">
        <v>-2.11</v>
      </c>
      <c r="D368" s="48">
        <v>0.01</v>
      </c>
      <c r="E368" s="49">
        <v>-3.27</v>
      </c>
      <c r="F368" s="49">
        <v>-4.41</v>
      </c>
      <c r="G368" s="55">
        <v>-79.989999999999995</v>
      </c>
      <c r="H368" s="68">
        <v>0</v>
      </c>
      <c r="I368" s="69">
        <v>1.36</v>
      </c>
      <c r="J368" s="70"/>
      <c r="K368" s="8">
        <v>0</v>
      </c>
      <c r="L368" s="10">
        <v>1.01</v>
      </c>
      <c r="M368" s="10">
        <v>0.67</v>
      </c>
      <c r="N368" s="9">
        <v>-43.47</v>
      </c>
      <c r="O368" s="14">
        <v>0.60069444444444442</v>
      </c>
      <c r="P368" s="18"/>
    </row>
    <row r="369" spans="1:16" ht="17" thickBot="1" x14ac:dyDescent="0.25">
      <c r="A369" s="35" t="s">
        <v>374</v>
      </c>
      <c r="B369" s="36">
        <v>3218</v>
      </c>
      <c r="C369" s="54">
        <v>2.35</v>
      </c>
      <c r="D369" s="48">
        <v>0.28000000000000003</v>
      </c>
      <c r="E369" s="53">
        <v>1.32</v>
      </c>
      <c r="F369" s="53">
        <v>1.8</v>
      </c>
      <c r="G369" s="50">
        <v>19.760000000000002</v>
      </c>
      <c r="H369" s="68">
        <v>0</v>
      </c>
      <c r="I369" s="78">
        <v>-2.11</v>
      </c>
      <c r="J369" s="79"/>
      <c r="K369" s="8">
        <v>0.01</v>
      </c>
      <c r="L369" s="9">
        <v>-3.27</v>
      </c>
      <c r="M369" s="9">
        <v>-4.41</v>
      </c>
      <c r="N369" s="9">
        <v>-79.989999999999995</v>
      </c>
      <c r="O369" s="14">
        <v>0.60069444444444442</v>
      </c>
      <c r="P369" s="18"/>
    </row>
    <row r="370" spans="1:16" ht="17" thickBot="1" x14ac:dyDescent="0.25">
      <c r="A370" s="35" t="s">
        <v>375</v>
      </c>
      <c r="B370" s="36">
        <v>266.8</v>
      </c>
      <c r="C370" s="47">
        <v>-0.11</v>
      </c>
      <c r="D370" s="48">
        <v>0.05</v>
      </c>
      <c r="E370" s="49">
        <v>-1.55</v>
      </c>
      <c r="F370" s="53">
        <v>3.01</v>
      </c>
      <c r="G370" s="50">
        <v>1.28</v>
      </c>
      <c r="H370" s="68">
        <v>0</v>
      </c>
      <c r="I370" s="69">
        <v>2.35</v>
      </c>
      <c r="J370" s="70"/>
      <c r="K370" s="8">
        <v>0.28000000000000003</v>
      </c>
      <c r="L370" s="10">
        <v>1.32</v>
      </c>
      <c r="M370" s="10">
        <v>1.8</v>
      </c>
      <c r="N370" s="10">
        <v>19.760000000000002</v>
      </c>
      <c r="O370" s="14">
        <v>0.60069444444444442</v>
      </c>
      <c r="P370" s="18"/>
    </row>
    <row r="371" spans="1:16" ht="17" thickBot="1" x14ac:dyDescent="0.25">
      <c r="A371" s="35" t="s">
        <v>376</v>
      </c>
      <c r="B371" s="36">
        <v>3800</v>
      </c>
      <c r="C371" s="47">
        <v>-0.08</v>
      </c>
      <c r="D371" s="48">
        <v>1.02</v>
      </c>
      <c r="E371" s="49">
        <v>-0.34</v>
      </c>
      <c r="F371" s="53">
        <v>0.82</v>
      </c>
      <c r="G371" s="50">
        <v>17.64</v>
      </c>
      <c r="H371" s="68">
        <v>0</v>
      </c>
      <c r="I371" s="78">
        <v>-0.11</v>
      </c>
      <c r="J371" s="79"/>
      <c r="K371" s="8">
        <v>0.05</v>
      </c>
      <c r="L371" s="9">
        <v>-1.55</v>
      </c>
      <c r="M371" s="10">
        <v>3.01</v>
      </c>
      <c r="N371" s="10">
        <v>1.28</v>
      </c>
      <c r="O371" s="14">
        <v>0.60069444444444442</v>
      </c>
      <c r="P371" s="18"/>
    </row>
    <row r="372" spans="1:16" ht="17" thickBot="1" x14ac:dyDescent="0.25">
      <c r="A372" s="35" t="s">
        <v>377</v>
      </c>
      <c r="B372" s="36">
        <v>3340</v>
      </c>
      <c r="C372" s="54">
        <v>0.94</v>
      </c>
      <c r="D372" s="48">
        <v>0.04</v>
      </c>
      <c r="E372" s="53">
        <v>0.15</v>
      </c>
      <c r="F372" s="53">
        <v>2.4500000000000002</v>
      </c>
      <c r="G372" s="50">
        <v>35.44</v>
      </c>
      <c r="H372" s="68">
        <v>0</v>
      </c>
      <c r="I372" s="78">
        <v>-0.08</v>
      </c>
      <c r="J372" s="79"/>
      <c r="K372" s="8">
        <v>1.02</v>
      </c>
      <c r="L372" s="9">
        <v>-0.34</v>
      </c>
      <c r="M372" s="10">
        <v>0.82</v>
      </c>
      <c r="N372" s="10">
        <v>17.64</v>
      </c>
      <c r="O372" s="14">
        <v>0.60138888888888886</v>
      </c>
      <c r="P372" s="18"/>
    </row>
    <row r="373" spans="1:16" ht="17" thickBot="1" x14ac:dyDescent="0.25">
      <c r="A373" s="35" t="s">
        <v>378</v>
      </c>
      <c r="B373" s="36">
        <v>131.5</v>
      </c>
      <c r="C373" s="47">
        <v>-6.07</v>
      </c>
      <c r="D373" s="48">
        <v>0.01</v>
      </c>
      <c r="E373" s="49">
        <v>-5.6</v>
      </c>
      <c r="F373" s="49">
        <v>-7.13</v>
      </c>
      <c r="G373" s="50">
        <v>10.01</v>
      </c>
      <c r="H373" s="68">
        <v>0</v>
      </c>
      <c r="I373" s="69">
        <v>0.94</v>
      </c>
      <c r="J373" s="70"/>
      <c r="K373" s="8">
        <v>0.04</v>
      </c>
      <c r="L373" s="10">
        <v>0.15</v>
      </c>
      <c r="M373" s="10">
        <v>2.4500000000000002</v>
      </c>
      <c r="N373" s="10">
        <v>35.44</v>
      </c>
      <c r="O373" s="14">
        <v>0.60138888888888886</v>
      </c>
      <c r="P373" s="18"/>
    </row>
    <row r="374" spans="1:16" ht="17" thickBot="1" x14ac:dyDescent="0.25">
      <c r="A374" s="35" t="s">
        <v>379</v>
      </c>
      <c r="B374" s="36">
        <v>468.3</v>
      </c>
      <c r="C374" s="47">
        <v>-2.21</v>
      </c>
      <c r="D374" s="48">
        <v>0.03</v>
      </c>
      <c r="E374" s="49">
        <v>-11.32</v>
      </c>
      <c r="F374" s="49">
        <v>-4.08</v>
      </c>
      <c r="G374" s="55">
        <v>-42.54</v>
      </c>
      <c r="H374" s="68">
        <v>0</v>
      </c>
      <c r="I374" s="78">
        <v>-6.07</v>
      </c>
      <c r="J374" s="79"/>
      <c r="K374" s="8">
        <v>0.01</v>
      </c>
      <c r="L374" s="9">
        <v>-5.6</v>
      </c>
      <c r="M374" s="9">
        <v>-7.13</v>
      </c>
      <c r="N374" s="10">
        <v>10.01</v>
      </c>
      <c r="O374" s="14">
        <v>0.60138888888888886</v>
      </c>
      <c r="P374" s="18"/>
    </row>
    <row r="375" spans="1:16" ht="17" thickBot="1" x14ac:dyDescent="0.25">
      <c r="A375" s="35" t="s">
        <v>380</v>
      </c>
      <c r="B375" s="36">
        <v>87.5</v>
      </c>
      <c r="C375" s="47">
        <v>-2.99</v>
      </c>
      <c r="D375" s="48">
        <v>0.03</v>
      </c>
      <c r="E375" s="49">
        <v>-1.24</v>
      </c>
      <c r="F375" s="53">
        <v>0</v>
      </c>
      <c r="G375" s="55">
        <v>-1.1299999999999999</v>
      </c>
      <c r="H375" s="68">
        <v>0</v>
      </c>
      <c r="I375" s="78">
        <v>-2.21</v>
      </c>
      <c r="J375" s="79"/>
      <c r="K375" s="8">
        <v>0.03</v>
      </c>
      <c r="L375" s="9">
        <v>-11.32</v>
      </c>
      <c r="M375" s="9">
        <v>-4.08</v>
      </c>
      <c r="N375" s="9">
        <v>-42.54</v>
      </c>
      <c r="O375" s="14">
        <v>0.60138888888888886</v>
      </c>
      <c r="P375" s="18"/>
    </row>
    <row r="376" spans="1:16" ht="17" thickBot="1" x14ac:dyDescent="0.25">
      <c r="A376" s="35" t="s">
        <v>381</v>
      </c>
      <c r="B376" s="36">
        <v>528.70000000000005</v>
      </c>
      <c r="C376" s="54">
        <v>0.78</v>
      </c>
      <c r="D376" s="48">
        <v>0</v>
      </c>
      <c r="E376" s="49">
        <v>-0.92</v>
      </c>
      <c r="F376" s="49">
        <v>-16.62</v>
      </c>
      <c r="G376" s="55">
        <v>-27.53</v>
      </c>
      <c r="H376" s="68">
        <v>0</v>
      </c>
      <c r="I376" s="78">
        <v>-2.99</v>
      </c>
      <c r="J376" s="79"/>
      <c r="K376" s="8">
        <v>0.03</v>
      </c>
      <c r="L376" s="9">
        <v>-1.24</v>
      </c>
      <c r="M376" s="10">
        <v>0</v>
      </c>
      <c r="N376" s="9">
        <v>-1.1299999999999999</v>
      </c>
      <c r="O376" s="14">
        <v>0.60138888888888886</v>
      </c>
      <c r="P376" s="18"/>
    </row>
    <row r="377" spans="1:16" ht="17" thickBot="1" x14ac:dyDescent="0.25">
      <c r="A377" s="35" t="s">
        <v>382</v>
      </c>
      <c r="B377" s="36">
        <v>550.4</v>
      </c>
      <c r="C377" s="47">
        <v>-0.79</v>
      </c>
      <c r="D377" s="48">
        <v>0.02</v>
      </c>
      <c r="E377" s="49">
        <v>-0.15</v>
      </c>
      <c r="F377" s="53">
        <v>1.1399999999999999</v>
      </c>
      <c r="G377" s="50">
        <v>9.9499999999999993</v>
      </c>
      <c r="H377" s="68">
        <v>0</v>
      </c>
      <c r="I377" s="69">
        <v>0.78</v>
      </c>
      <c r="J377" s="70"/>
      <c r="K377" s="8">
        <v>0</v>
      </c>
      <c r="L377" s="9">
        <v>-0.92</v>
      </c>
      <c r="M377" s="9">
        <v>-16.62</v>
      </c>
      <c r="N377" s="9">
        <v>-27.53</v>
      </c>
      <c r="O377" s="14">
        <v>0.60138888888888886</v>
      </c>
      <c r="P377" s="18"/>
    </row>
    <row r="378" spans="1:16" ht="17" customHeight="1" thickBot="1" x14ac:dyDescent="0.25">
      <c r="A378" s="35" t="s">
        <v>383</v>
      </c>
      <c r="B378" s="36">
        <v>281.60000000000002</v>
      </c>
      <c r="C378" s="47">
        <v>-1.57</v>
      </c>
      <c r="D378" s="48">
        <v>0.45</v>
      </c>
      <c r="E378" s="53">
        <v>4.53</v>
      </c>
      <c r="F378" s="53">
        <v>4.0999999999999996</v>
      </c>
      <c r="G378" s="50">
        <v>169.84</v>
      </c>
      <c r="H378" s="68">
        <v>0</v>
      </c>
      <c r="I378" s="78">
        <v>-0.79</v>
      </c>
      <c r="J378" s="79"/>
      <c r="K378" s="8">
        <v>0.02</v>
      </c>
      <c r="L378" s="9">
        <v>-0.15</v>
      </c>
      <c r="M378" s="10">
        <v>1.1399999999999999</v>
      </c>
      <c r="N378" s="10">
        <v>9.9499999999999993</v>
      </c>
      <c r="O378" s="14">
        <v>0.60138888888888886</v>
      </c>
      <c r="P378" s="18"/>
    </row>
    <row r="379" spans="1:16" ht="17" thickBot="1" x14ac:dyDescent="0.25">
      <c r="A379" s="35" t="s">
        <v>384</v>
      </c>
      <c r="B379" s="36">
        <v>18980</v>
      </c>
      <c r="C379" s="54">
        <v>0.53</v>
      </c>
      <c r="D379" s="48">
        <v>0.6</v>
      </c>
      <c r="E379" s="53">
        <v>1.06</v>
      </c>
      <c r="F379" s="53">
        <v>7.23</v>
      </c>
      <c r="G379" s="50">
        <v>11.2</v>
      </c>
      <c r="H379" s="68">
        <v>0</v>
      </c>
      <c r="I379" s="78">
        <v>-1.57</v>
      </c>
      <c r="J379" s="79"/>
      <c r="K379" s="8">
        <v>0.45</v>
      </c>
      <c r="L379" s="10">
        <v>4.53</v>
      </c>
      <c r="M379" s="10">
        <v>4.0999999999999996</v>
      </c>
      <c r="N379" s="10">
        <v>169.84</v>
      </c>
      <c r="O379" s="14">
        <v>0.60138888888888886</v>
      </c>
      <c r="P379" s="18"/>
    </row>
    <row r="380" spans="1:16" ht="17" customHeight="1" thickBot="1" x14ac:dyDescent="0.25">
      <c r="A380" s="35" t="s">
        <v>385</v>
      </c>
      <c r="B380" s="36">
        <v>3547</v>
      </c>
      <c r="C380" s="47">
        <v>-0.98</v>
      </c>
      <c r="D380" s="48">
        <v>7.99</v>
      </c>
      <c r="E380" s="49">
        <v>-2.82</v>
      </c>
      <c r="F380" s="49">
        <v>-12.48</v>
      </c>
      <c r="G380" s="55">
        <v>-10.32</v>
      </c>
      <c r="H380" s="68">
        <v>0</v>
      </c>
      <c r="I380" s="69">
        <v>0.53</v>
      </c>
      <c r="J380" s="70"/>
      <c r="K380" s="8">
        <v>0.6</v>
      </c>
      <c r="L380" s="10">
        <v>1.06</v>
      </c>
      <c r="M380" s="10">
        <v>7.23</v>
      </c>
      <c r="N380" s="10">
        <v>11.2</v>
      </c>
      <c r="O380" s="14">
        <v>0.60069444444444442</v>
      </c>
      <c r="P380" s="18"/>
    </row>
    <row r="381" spans="1:16" ht="17" thickBot="1" x14ac:dyDescent="0.25">
      <c r="A381" s="35" t="s">
        <v>386</v>
      </c>
      <c r="B381" s="36">
        <v>34100</v>
      </c>
      <c r="C381" s="54">
        <v>1.49</v>
      </c>
      <c r="D381" s="48">
        <v>22</v>
      </c>
      <c r="E381" s="53">
        <v>1.49</v>
      </c>
      <c r="F381" s="49">
        <v>-6.09</v>
      </c>
      <c r="G381" s="55">
        <v>-39.450000000000003</v>
      </c>
      <c r="H381" s="68">
        <v>0</v>
      </c>
      <c r="I381" s="78">
        <v>-0.98</v>
      </c>
      <c r="J381" s="79"/>
      <c r="K381" s="8">
        <v>7.99</v>
      </c>
      <c r="L381" s="9">
        <v>-2.82</v>
      </c>
      <c r="M381" s="9">
        <v>-12.48</v>
      </c>
      <c r="N381" s="9">
        <v>-10.32</v>
      </c>
      <c r="O381" s="14">
        <v>0.60069444444444442</v>
      </c>
      <c r="P381" s="18"/>
    </row>
    <row r="382" spans="1:16" ht="17" thickBot="1" x14ac:dyDescent="0.25">
      <c r="A382" s="35" t="s">
        <v>387</v>
      </c>
      <c r="B382" s="36">
        <v>598.20000000000005</v>
      </c>
      <c r="C382" s="54">
        <v>0.2</v>
      </c>
      <c r="D382" s="48">
        <v>0.1</v>
      </c>
      <c r="E382" s="49">
        <v>-0.05</v>
      </c>
      <c r="F382" s="53">
        <v>1.48</v>
      </c>
      <c r="G382" s="50">
        <v>33.24</v>
      </c>
      <c r="H382" s="68">
        <v>0</v>
      </c>
      <c r="I382" s="69">
        <v>1.49</v>
      </c>
      <c r="J382" s="70"/>
      <c r="K382" s="8">
        <v>22</v>
      </c>
      <c r="L382" s="10">
        <v>1.49</v>
      </c>
      <c r="M382" s="9">
        <v>-6.09</v>
      </c>
      <c r="N382" s="9">
        <v>-39.450000000000003</v>
      </c>
      <c r="O382" s="14">
        <v>0.60069444444444442</v>
      </c>
      <c r="P382" s="18"/>
    </row>
    <row r="383" spans="1:16" ht="17" thickBot="1" x14ac:dyDescent="0.25">
      <c r="A383" s="35" t="s">
        <v>388</v>
      </c>
      <c r="B383" s="36">
        <v>2707</v>
      </c>
      <c r="C383" s="54">
        <v>0</v>
      </c>
      <c r="D383" s="48">
        <v>0.05</v>
      </c>
      <c r="E383" s="53">
        <v>3.44</v>
      </c>
      <c r="F383" s="53">
        <v>0.74</v>
      </c>
      <c r="G383" s="50">
        <v>10.63</v>
      </c>
      <c r="H383" s="68">
        <v>0</v>
      </c>
      <c r="I383" s="69">
        <v>0.2</v>
      </c>
      <c r="J383" s="70"/>
      <c r="K383" s="8">
        <v>0.1</v>
      </c>
      <c r="L383" s="9">
        <v>-0.05</v>
      </c>
      <c r="M383" s="10">
        <v>1.48</v>
      </c>
      <c r="N383" s="10">
        <v>33.24</v>
      </c>
      <c r="O383" s="14">
        <v>0.60138888888888886</v>
      </c>
      <c r="P383" s="18"/>
    </row>
    <row r="384" spans="1:16" ht="17" thickBot="1" x14ac:dyDescent="0.25">
      <c r="A384" s="35" t="s">
        <v>389</v>
      </c>
      <c r="B384" s="36">
        <v>595.20000000000005</v>
      </c>
      <c r="C384" s="47">
        <v>-1.1100000000000001</v>
      </c>
      <c r="D384" s="48">
        <v>0.1</v>
      </c>
      <c r="E384" s="49">
        <v>-1.05</v>
      </c>
      <c r="F384" s="53">
        <v>5.79</v>
      </c>
      <c r="G384" s="50">
        <v>10.63</v>
      </c>
      <c r="H384" s="68">
        <v>0</v>
      </c>
      <c r="I384" s="69"/>
      <c r="J384" s="70"/>
      <c r="K384" s="8">
        <v>0.05</v>
      </c>
      <c r="L384" s="10">
        <v>3.44</v>
      </c>
      <c r="M384" s="10">
        <v>0.74</v>
      </c>
      <c r="N384" s="10">
        <v>10.63</v>
      </c>
      <c r="O384" s="14">
        <v>0.60138888888888886</v>
      </c>
      <c r="P384" s="18"/>
    </row>
    <row r="385" spans="1:16" ht="17" thickBot="1" x14ac:dyDescent="0.25">
      <c r="A385" s="35" t="s">
        <v>390</v>
      </c>
      <c r="B385" s="36">
        <v>950.7</v>
      </c>
      <c r="C385" s="54">
        <v>0.56000000000000005</v>
      </c>
      <c r="D385" s="48">
        <v>0.15</v>
      </c>
      <c r="E385" s="49">
        <v>-0.28999999999999998</v>
      </c>
      <c r="F385" s="49">
        <v>-0.42</v>
      </c>
      <c r="G385" s="50">
        <v>18.82</v>
      </c>
      <c r="H385" s="68">
        <v>0</v>
      </c>
      <c r="I385" s="78">
        <v>-1.1100000000000001</v>
      </c>
      <c r="J385" s="79"/>
      <c r="K385" s="8">
        <v>0.1</v>
      </c>
      <c r="L385" s="9">
        <v>-1.05</v>
      </c>
      <c r="M385" s="10">
        <v>5.79</v>
      </c>
      <c r="N385" s="10">
        <v>10.63</v>
      </c>
      <c r="O385" s="14">
        <v>0.60069444444444442</v>
      </c>
      <c r="P385" s="18"/>
    </row>
    <row r="386" spans="1:16" ht="17" customHeight="1" thickBot="1" x14ac:dyDescent="0.25">
      <c r="A386" s="35" t="s">
        <v>391</v>
      </c>
      <c r="B386" s="36">
        <v>1292</v>
      </c>
      <c r="C386" s="47">
        <v>-2.2000000000000002</v>
      </c>
      <c r="D386" s="48">
        <v>1.1599999999999999</v>
      </c>
      <c r="E386" s="49">
        <v>-2.93</v>
      </c>
      <c r="F386" s="53">
        <v>0</v>
      </c>
      <c r="G386" s="50">
        <v>51.05</v>
      </c>
      <c r="H386" s="68">
        <v>0</v>
      </c>
      <c r="I386" s="69">
        <v>0.56000000000000005</v>
      </c>
      <c r="J386" s="70"/>
      <c r="K386" s="8">
        <v>0.15</v>
      </c>
      <c r="L386" s="9">
        <v>-0.28999999999999998</v>
      </c>
      <c r="M386" s="9">
        <v>-0.42</v>
      </c>
      <c r="N386" s="10">
        <v>18.82</v>
      </c>
      <c r="O386" s="14">
        <v>0.60069444444444442</v>
      </c>
      <c r="P386" s="18"/>
    </row>
    <row r="387" spans="1:16" ht="17" thickBot="1" x14ac:dyDescent="0.25">
      <c r="A387" s="35" t="s">
        <v>392</v>
      </c>
      <c r="B387" s="36">
        <v>777.4</v>
      </c>
      <c r="C387" s="47">
        <v>-0.8</v>
      </c>
      <c r="D387" s="48">
        <v>0.25</v>
      </c>
      <c r="E387" s="49">
        <v>-2.14</v>
      </c>
      <c r="F387" s="49">
        <v>-1.36</v>
      </c>
      <c r="G387" s="50">
        <v>27.89</v>
      </c>
      <c r="H387" s="68">
        <v>0</v>
      </c>
      <c r="I387" s="78">
        <v>-2.2000000000000002</v>
      </c>
      <c r="J387" s="79"/>
      <c r="K387" s="8">
        <v>1.1599999999999999</v>
      </c>
      <c r="L387" s="9">
        <v>-2.93</v>
      </c>
      <c r="M387" s="10">
        <v>0</v>
      </c>
      <c r="N387" s="10">
        <v>51.05</v>
      </c>
      <c r="O387" s="14">
        <v>0.60069444444444442</v>
      </c>
      <c r="P387" s="18"/>
    </row>
    <row r="388" spans="1:16" ht="17" customHeight="1" thickBot="1" x14ac:dyDescent="0.25">
      <c r="A388" s="35" t="s">
        <v>393</v>
      </c>
      <c r="B388" s="36">
        <v>4019</v>
      </c>
      <c r="C388" s="47">
        <v>-2.0499999999999998</v>
      </c>
      <c r="D388" s="48">
        <v>0.55000000000000004</v>
      </c>
      <c r="E388" s="49">
        <v>-4.04</v>
      </c>
      <c r="F388" s="49">
        <v>-6.53</v>
      </c>
      <c r="G388" s="50">
        <v>1.75</v>
      </c>
      <c r="H388" s="68">
        <v>0</v>
      </c>
      <c r="I388" s="78">
        <v>-0.8</v>
      </c>
      <c r="J388" s="79"/>
      <c r="K388" s="8">
        <v>0.25</v>
      </c>
      <c r="L388" s="9">
        <v>-2.14</v>
      </c>
      <c r="M388" s="9">
        <v>-1.36</v>
      </c>
      <c r="N388" s="10">
        <v>27.89</v>
      </c>
      <c r="O388" s="14">
        <v>0.60069444444444442</v>
      </c>
      <c r="P388" s="18"/>
    </row>
    <row r="389" spans="1:16" ht="17" thickBot="1" x14ac:dyDescent="0.25">
      <c r="A389" s="35" t="s">
        <v>394</v>
      </c>
      <c r="B389" s="36">
        <v>18260</v>
      </c>
      <c r="C389" s="54">
        <v>0</v>
      </c>
      <c r="D389" s="48">
        <v>3.68</v>
      </c>
      <c r="E389" s="53">
        <v>2.0099999999999998</v>
      </c>
      <c r="F389" s="53">
        <v>0.66</v>
      </c>
      <c r="G389" s="50">
        <v>29.87</v>
      </c>
      <c r="H389" s="68">
        <v>0</v>
      </c>
      <c r="I389" s="78">
        <v>-2.0499999999999998</v>
      </c>
      <c r="J389" s="79"/>
      <c r="K389" s="8">
        <v>0.55000000000000004</v>
      </c>
      <c r="L389" s="9">
        <v>-4.04</v>
      </c>
      <c r="M389" s="9">
        <v>-6.53</v>
      </c>
      <c r="N389" s="10">
        <v>1.75</v>
      </c>
      <c r="O389" s="14">
        <v>0.60069444444444442</v>
      </c>
      <c r="P389" s="18"/>
    </row>
    <row r="390" spans="1:16" ht="17" thickBot="1" x14ac:dyDescent="0.25">
      <c r="A390" s="35" t="s">
        <v>395</v>
      </c>
      <c r="B390" s="36">
        <v>27.9</v>
      </c>
      <c r="C390" s="54">
        <v>0</v>
      </c>
      <c r="D390" s="48">
        <v>0</v>
      </c>
      <c r="E390" s="53">
        <v>0</v>
      </c>
      <c r="F390" s="53">
        <v>0</v>
      </c>
      <c r="G390" s="50">
        <v>64.12</v>
      </c>
      <c r="H390" s="68">
        <v>0</v>
      </c>
      <c r="I390" s="69"/>
      <c r="J390" s="70"/>
      <c r="K390" s="8">
        <v>3.68</v>
      </c>
      <c r="L390" s="10">
        <v>2.0099999999999998</v>
      </c>
      <c r="M390" s="10">
        <v>0.66</v>
      </c>
      <c r="N390" s="10">
        <v>29.87</v>
      </c>
      <c r="O390" s="14">
        <v>0.60069444444444442</v>
      </c>
      <c r="P390" s="18"/>
    </row>
    <row r="391" spans="1:16" ht="17" customHeight="1" thickBot="1" x14ac:dyDescent="0.25">
      <c r="A391" s="35" t="s">
        <v>396</v>
      </c>
      <c r="B391" s="36">
        <v>484.6</v>
      </c>
      <c r="C391" s="54">
        <v>2.63</v>
      </c>
      <c r="D391" s="48">
        <v>0.06</v>
      </c>
      <c r="E391" s="53">
        <v>4.08</v>
      </c>
      <c r="F391" s="53">
        <v>3.41</v>
      </c>
      <c r="G391" s="55">
        <v>-10.44</v>
      </c>
      <c r="H391" s="68">
        <v>0</v>
      </c>
      <c r="I391" s="69"/>
      <c r="J391" s="70"/>
      <c r="K391" s="8">
        <v>0</v>
      </c>
      <c r="L391" s="10">
        <v>0</v>
      </c>
      <c r="M391" s="10">
        <v>0</v>
      </c>
      <c r="N391" s="10">
        <v>64.12</v>
      </c>
      <c r="O391" s="14">
        <v>0.60069444444444442</v>
      </c>
      <c r="P391" s="18"/>
    </row>
    <row r="392" spans="1:16" ht="17" thickBot="1" x14ac:dyDescent="0.25">
      <c r="A392" s="35" t="s">
        <v>397</v>
      </c>
      <c r="B392" s="36">
        <v>339.5</v>
      </c>
      <c r="C392" s="47">
        <v>-0.76</v>
      </c>
      <c r="D392" s="48">
        <v>0.17</v>
      </c>
      <c r="E392" s="53">
        <v>1.86</v>
      </c>
      <c r="F392" s="49">
        <v>-3.82</v>
      </c>
      <c r="G392" s="55">
        <v>-36.06</v>
      </c>
      <c r="H392" s="68">
        <v>0</v>
      </c>
      <c r="I392" s="69">
        <v>2.63</v>
      </c>
      <c r="J392" s="70"/>
      <c r="K392" s="8">
        <v>0.06</v>
      </c>
      <c r="L392" s="10">
        <v>4.08</v>
      </c>
      <c r="M392" s="10">
        <v>3.41</v>
      </c>
      <c r="N392" s="9">
        <v>-10.44</v>
      </c>
      <c r="O392" s="14">
        <v>0.60069444444444442</v>
      </c>
      <c r="P392" s="18"/>
    </row>
    <row r="393" spans="1:16" ht="17" thickBot="1" x14ac:dyDescent="0.25">
      <c r="A393" s="35" t="s">
        <v>398</v>
      </c>
      <c r="B393" s="36">
        <v>1320</v>
      </c>
      <c r="C393" s="47">
        <v>-0.08</v>
      </c>
      <c r="D393" s="48">
        <v>7.0000000000000007E-2</v>
      </c>
      <c r="E393" s="49">
        <v>-1.35</v>
      </c>
      <c r="F393" s="49">
        <v>-4.42</v>
      </c>
      <c r="G393" s="55">
        <v>-21.57</v>
      </c>
      <c r="H393" s="68">
        <v>0</v>
      </c>
      <c r="I393" s="78">
        <v>-0.76</v>
      </c>
      <c r="J393" s="79"/>
      <c r="K393" s="8">
        <v>0.17</v>
      </c>
      <c r="L393" s="10">
        <v>1.86</v>
      </c>
      <c r="M393" s="9">
        <v>-3.82</v>
      </c>
      <c r="N393" s="9">
        <v>-36.06</v>
      </c>
      <c r="O393" s="14">
        <v>0.60138888888888886</v>
      </c>
      <c r="P393" s="18"/>
    </row>
    <row r="394" spans="1:16" ht="17" thickBot="1" x14ac:dyDescent="0.25">
      <c r="A394" s="35" t="s">
        <v>399</v>
      </c>
      <c r="B394" s="36">
        <v>180.1</v>
      </c>
      <c r="C394" s="54">
        <v>0</v>
      </c>
      <c r="D394" s="48">
        <v>0.15</v>
      </c>
      <c r="E394" s="49">
        <v>-18.98</v>
      </c>
      <c r="F394" s="49">
        <v>-18.47</v>
      </c>
      <c r="G394" s="55">
        <v>-68.400000000000006</v>
      </c>
      <c r="H394" s="51">
        <v>1136639</v>
      </c>
      <c r="I394" s="78">
        <v>-0.08</v>
      </c>
      <c r="J394" s="79"/>
      <c r="K394" s="8">
        <v>7.0000000000000007E-2</v>
      </c>
      <c r="L394" s="9">
        <v>-1.35</v>
      </c>
      <c r="M394" s="9">
        <v>-4.42</v>
      </c>
      <c r="N394" s="9">
        <v>-21.57</v>
      </c>
      <c r="O394" s="14">
        <v>0.60138888888888886</v>
      </c>
      <c r="P394" s="18"/>
    </row>
    <row r="395" spans="1:16" ht="17" thickBot="1" x14ac:dyDescent="0.25">
      <c r="A395" s="35" t="s">
        <v>400</v>
      </c>
      <c r="B395" s="36">
        <v>14410</v>
      </c>
      <c r="C395" s="54">
        <v>7.0000000000000007E-2</v>
      </c>
      <c r="D395" s="48">
        <v>11.6</v>
      </c>
      <c r="E395" s="53">
        <v>0.42</v>
      </c>
      <c r="F395" s="49">
        <v>-1.91</v>
      </c>
      <c r="G395" s="55">
        <v>-31.71</v>
      </c>
      <c r="H395" s="51">
        <v>1136704</v>
      </c>
      <c r="I395" s="69"/>
      <c r="J395" s="70"/>
      <c r="K395" s="8">
        <v>0.15</v>
      </c>
      <c r="L395" s="9">
        <v>-18.98</v>
      </c>
      <c r="M395" s="9">
        <v>-18.47</v>
      </c>
      <c r="N395" s="9">
        <v>-68.400000000000006</v>
      </c>
      <c r="O395" s="14">
        <v>0.60138888888888886</v>
      </c>
      <c r="P395" s="18"/>
    </row>
    <row r="396" spans="1:16" ht="17" thickBot="1" x14ac:dyDescent="0.25">
      <c r="A396" s="35" t="s">
        <v>401</v>
      </c>
      <c r="B396" s="36">
        <v>435</v>
      </c>
      <c r="C396" s="54">
        <v>0</v>
      </c>
      <c r="D396" s="48">
        <v>0</v>
      </c>
      <c r="E396" s="53">
        <v>0</v>
      </c>
      <c r="F396" s="49">
        <v>-4.42</v>
      </c>
      <c r="G396" s="55">
        <v>-42.99</v>
      </c>
      <c r="H396" s="68">
        <v>0</v>
      </c>
      <c r="I396" s="69">
        <v>7.0000000000000007E-2</v>
      </c>
      <c r="J396" s="70"/>
      <c r="K396" s="8">
        <v>11.6</v>
      </c>
      <c r="L396" s="10">
        <v>0.42</v>
      </c>
      <c r="M396" s="9">
        <v>-1.91</v>
      </c>
      <c r="N396" s="9">
        <v>-31.71</v>
      </c>
      <c r="O396" s="14">
        <v>0.60069444444444442</v>
      </c>
      <c r="P396" s="18"/>
    </row>
    <row r="397" spans="1:16" ht="17" thickBot="1" x14ac:dyDescent="0.25">
      <c r="A397" s="35" t="s">
        <v>402</v>
      </c>
      <c r="B397" s="36">
        <v>1400</v>
      </c>
      <c r="C397" s="47">
        <v>-0.56999999999999995</v>
      </c>
      <c r="D397" s="48">
        <v>0.01</v>
      </c>
      <c r="E397" s="49">
        <v>-1.89</v>
      </c>
      <c r="F397" s="49">
        <v>-7.59</v>
      </c>
      <c r="G397" s="55">
        <v>-7.59</v>
      </c>
      <c r="H397" s="68">
        <v>0</v>
      </c>
      <c r="I397" s="69"/>
      <c r="J397" s="70"/>
      <c r="K397" s="8">
        <v>0</v>
      </c>
      <c r="L397" s="10">
        <v>0</v>
      </c>
      <c r="M397" s="9">
        <v>-4.42</v>
      </c>
      <c r="N397" s="9">
        <v>-42.99</v>
      </c>
      <c r="O397" s="14">
        <v>0.60138888888888886</v>
      </c>
      <c r="P397" s="18"/>
    </row>
    <row r="398" spans="1:16" ht="17" thickBot="1" x14ac:dyDescent="0.25">
      <c r="A398" s="35" t="s">
        <v>403</v>
      </c>
      <c r="B398" s="36">
        <v>2829</v>
      </c>
      <c r="C398" s="47">
        <v>-1.08</v>
      </c>
      <c r="D398" s="48">
        <v>0</v>
      </c>
      <c r="E398" s="49">
        <v>-0.74</v>
      </c>
      <c r="F398" s="53">
        <v>2.13</v>
      </c>
      <c r="G398" s="55">
        <v>-7.59</v>
      </c>
      <c r="H398" s="68">
        <v>0</v>
      </c>
      <c r="I398" s="78">
        <v>-0.56999999999999995</v>
      </c>
      <c r="J398" s="79"/>
      <c r="K398" s="8">
        <v>0.01</v>
      </c>
      <c r="L398" s="9">
        <v>-1.89</v>
      </c>
      <c r="M398" s="9">
        <v>-7.59</v>
      </c>
      <c r="N398" s="9">
        <v>-7.59</v>
      </c>
      <c r="O398" s="14">
        <v>0.60138888888888886</v>
      </c>
      <c r="P398" s="18"/>
    </row>
    <row r="399" spans="1:16" ht="17" thickBot="1" x14ac:dyDescent="0.25">
      <c r="A399" s="35" t="s">
        <v>404</v>
      </c>
      <c r="B399" s="36">
        <v>678.9</v>
      </c>
      <c r="C399" s="47">
        <v>-7.0000000000000007E-2</v>
      </c>
      <c r="D399" s="48">
        <v>0.02</v>
      </c>
      <c r="E399" s="49">
        <v>-5.12</v>
      </c>
      <c r="F399" s="49">
        <v>-6.63</v>
      </c>
      <c r="G399" s="55">
        <v>-7.59</v>
      </c>
      <c r="H399" s="68">
        <v>0</v>
      </c>
      <c r="I399" s="78">
        <v>-1.08</v>
      </c>
      <c r="J399" s="79"/>
      <c r="K399" s="8">
        <v>0</v>
      </c>
      <c r="L399" s="9">
        <v>-0.74</v>
      </c>
      <c r="M399" s="10">
        <v>2.13</v>
      </c>
      <c r="N399" s="9">
        <v>-7.59</v>
      </c>
      <c r="O399" s="14">
        <v>0.60069444444444442</v>
      </c>
      <c r="P399" s="18"/>
    </row>
    <row r="400" spans="1:16" ht="17" thickBot="1" x14ac:dyDescent="0.25">
      <c r="A400" s="35" t="s">
        <v>405</v>
      </c>
      <c r="B400" s="36">
        <v>296.5</v>
      </c>
      <c r="C400" s="54">
        <v>0</v>
      </c>
      <c r="D400" s="48">
        <v>0</v>
      </c>
      <c r="E400" s="53">
        <v>0</v>
      </c>
      <c r="F400" s="53">
        <v>5.14</v>
      </c>
      <c r="G400" s="55">
        <v>-7.59</v>
      </c>
      <c r="H400" s="68">
        <v>0</v>
      </c>
      <c r="I400" s="78">
        <v>-7.0000000000000007E-2</v>
      </c>
      <c r="J400" s="79"/>
      <c r="K400" s="8">
        <v>0.02</v>
      </c>
      <c r="L400" s="9">
        <v>-5.12</v>
      </c>
      <c r="M400" s="9">
        <v>-6.63</v>
      </c>
      <c r="N400" s="9">
        <v>-7.59</v>
      </c>
      <c r="O400" s="14">
        <v>0.60138888888888886</v>
      </c>
      <c r="P400" s="18"/>
    </row>
    <row r="401" spans="1:16" ht="17" thickBot="1" x14ac:dyDescent="0.25">
      <c r="A401" s="35" t="s">
        <v>406</v>
      </c>
      <c r="B401" s="36">
        <v>97.7</v>
      </c>
      <c r="C401" s="54">
        <v>1.24</v>
      </c>
      <c r="D401" s="48">
        <v>1.64</v>
      </c>
      <c r="E401" s="49">
        <v>-0.1</v>
      </c>
      <c r="F401" s="49">
        <v>-0.31</v>
      </c>
      <c r="G401" s="55">
        <v>-7.59</v>
      </c>
      <c r="H401" s="68">
        <v>0</v>
      </c>
      <c r="I401" s="69"/>
      <c r="J401" s="70"/>
      <c r="K401" s="8">
        <v>0</v>
      </c>
      <c r="L401" s="10">
        <v>0</v>
      </c>
      <c r="M401" s="10">
        <v>5.14</v>
      </c>
      <c r="N401" s="9">
        <v>-7.59</v>
      </c>
      <c r="O401" s="14">
        <v>0.60069444444444442</v>
      </c>
      <c r="P401" s="18"/>
    </row>
    <row r="402" spans="1:16" ht="17" thickBot="1" x14ac:dyDescent="0.25">
      <c r="A402" s="35" t="s">
        <v>407</v>
      </c>
      <c r="B402" s="36">
        <v>464.9</v>
      </c>
      <c r="C402" s="54">
        <v>0</v>
      </c>
      <c r="D402" s="48">
        <v>0</v>
      </c>
      <c r="E402" s="53">
        <v>2.72</v>
      </c>
      <c r="F402" s="49">
        <v>-1.1499999999999999</v>
      </c>
      <c r="G402" s="50">
        <v>0.15</v>
      </c>
      <c r="H402" s="68">
        <v>0</v>
      </c>
      <c r="I402" s="69">
        <v>1.24</v>
      </c>
      <c r="J402" s="70"/>
      <c r="K402" s="8">
        <v>1.64</v>
      </c>
      <c r="L402" s="9">
        <v>-0.1</v>
      </c>
      <c r="M402" s="9">
        <v>-0.31</v>
      </c>
      <c r="N402" s="9">
        <v>-7.59</v>
      </c>
      <c r="O402" s="14">
        <v>0.60138888888888886</v>
      </c>
      <c r="P402" s="18"/>
    </row>
    <row r="403" spans="1:16" ht="17" thickBot="1" x14ac:dyDescent="0.25">
      <c r="A403" s="35" t="s">
        <v>408</v>
      </c>
      <c r="B403" s="36">
        <v>606</v>
      </c>
      <c r="C403" s="54">
        <v>2.14</v>
      </c>
      <c r="D403" s="48">
        <v>0.05</v>
      </c>
      <c r="E403" s="53">
        <v>2.19</v>
      </c>
      <c r="F403" s="53">
        <v>1.8</v>
      </c>
      <c r="G403" s="50">
        <v>11.81</v>
      </c>
      <c r="H403" s="68">
        <v>0</v>
      </c>
      <c r="I403" s="69"/>
      <c r="J403" s="70"/>
      <c r="K403" s="8">
        <v>0</v>
      </c>
      <c r="L403" s="10">
        <v>2.72</v>
      </c>
      <c r="M403" s="9">
        <v>-1.1499999999999999</v>
      </c>
      <c r="N403" s="10">
        <v>0.15</v>
      </c>
      <c r="O403" s="14">
        <v>0.60138888888888886</v>
      </c>
      <c r="P403" s="18"/>
    </row>
    <row r="404" spans="1:16" ht="17" thickBot="1" x14ac:dyDescent="0.25">
      <c r="A404" s="35" t="s">
        <v>409</v>
      </c>
      <c r="B404" s="36">
        <v>136.6</v>
      </c>
      <c r="C404" s="47">
        <v>-0.28999999999999998</v>
      </c>
      <c r="D404" s="48">
        <v>0.6</v>
      </c>
      <c r="E404" s="53">
        <v>0.44</v>
      </c>
      <c r="F404" s="49">
        <v>-1.51</v>
      </c>
      <c r="G404" s="55">
        <v>-11.3</v>
      </c>
      <c r="H404" s="51">
        <v>2590248</v>
      </c>
      <c r="I404" s="69">
        <v>2.14</v>
      </c>
      <c r="J404" s="70"/>
      <c r="K404" s="8">
        <v>0.05</v>
      </c>
      <c r="L404" s="10">
        <v>2.19</v>
      </c>
      <c r="M404" s="10">
        <v>1.8</v>
      </c>
      <c r="N404" s="10">
        <v>11.81</v>
      </c>
      <c r="O404" s="14">
        <v>0.60069444444444442</v>
      </c>
      <c r="P404" s="18"/>
    </row>
    <row r="405" spans="1:16" ht="17" thickBot="1" x14ac:dyDescent="0.25">
      <c r="A405" s="35" t="s">
        <v>410</v>
      </c>
      <c r="B405" s="36">
        <v>5190</v>
      </c>
      <c r="C405" s="47">
        <v>-0.36</v>
      </c>
      <c r="D405" s="48">
        <v>0.28000000000000003</v>
      </c>
      <c r="E405" s="53">
        <v>0.56000000000000005</v>
      </c>
      <c r="F405" s="49">
        <v>-0.52</v>
      </c>
      <c r="G405" s="50">
        <v>82.36</v>
      </c>
      <c r="H405" s="68">
        <v>0</v>
      </c>
      <c r="I405" s="78">
        <v>-0.28999999999999998</v>
      </c>
      <c r="J405" s="79"/>
      <c r="K405" s="8">
        <v>0.6</v>
      </c>
      <c r="L405" s="10">
        <v>0.44</v>
      </c>
      <c r="M405" s="9">
        <v>-1.51</v>
      </c>
      <c r="N405" s="9">
        <v>-11.3</v>
      </c>
      <c r="O405" s="14">
        <v>0.60138888888888886</v>
      </c>
      <c r="P405" s="18"/>
    </row>
    <row r="406" spans="1:16" ht="17" customHeight="1" thickBot="1" x14ac:dyDescent="0.25">
      <c r="A406" s="35" t="s">
        <v>411</v>
      </c>
      <c r="B406" s="36">
        <v>290</v>
      </c>
      <c r="C406" s="54">
        <v>7.01</v>
      </c>
      <c r="D406" s="48">
        <v>0</v>
      </c>
      <c r="E406" s="53">
        <v>7.01</v>
      </c>
      <c r="F406" s="53">
        <v>16</v>
      </c>
      <c r="G406" s="50">
        <v>24.57</v>
      </c>
      <c r="H406" s="68">
        <v>0</v>
      </c>
      <c r="I406" s="78">
        <v>-0.36</v>
      </c>
      <c r="J406" s="79"/>
      <c r="K406" s="8">
        <v>0.28000000000000003</v>
      </c>
      <c r="L406" s="10">
        <v>0.56000000000000005</v>
      </c>
      <c r="M406" s="9">
        <v>-0.52</v>
      </c>
      <c r="N406" s="10">
        <v>82.36</v>
      </c>
      <c r="O406" s="14">
        <v>0.60138888888888886</v>
      </c>
      <c r="P406" s="18"/>
    </row>
    <row r="407" spans="1:16" ht="16" customHeight="1" x14ac:dyDescent="0.2">
      <c r="A407" s="2"/>
      <c r="B407" s="29"/>
      <c r="C407" s="75" t="s">
        <v>411</v>
      </c>
      <c r="D407" s="76"/>
      <c r="E407" s="76"/>
      <c r="F407" s="77"/>
      <c r="G407" s="73">
        <v>290</v>
      </c>
      <c r="H407" s="74"/>
      <c r="I407" s="71">
        <v>7.01</v>
      </c>
      <c r="J407" s="72"/>
      <c r="K407" s="15">
        <v>0</v>
      </c>
      <c r="L407" s="16">
        <v>7.01</v>
      </c>
      <c r="M407" s="16">
        <v>16</v>
      </c>
      <c r="N407" s="16">
        <v>24.57</v>
      </c>
      <c r="O407" s="17">
        <v>0.60138888888888886</v>
      </c>
      <c r="P407" s="18"/>
    </row>
    <row r="408" spans="1:16" x14ac:dyDescent="0.2">
      <c r="A408" s="2"/>
      <c r="B408" s="29"/>
      <c r="C408" s="82"/>
      <c r="D408" s="83"/>
      <c r="E408" s="83"/>
      <c r="F408" s="83"/>
      <c r="G408" s="83"/>
      <c r="H408" s="83"/>
      <c r="I408" s="83"/>
      <c r="J408" s="83"/>
      <c r="K408" s="83"/>
      <c r="L408" s="83"/>
      <c r="M408" s="83"/>
      <c r="N408" s="83"/>
      <c r="O408" s="84"/>
      <c r="P408" s="18"/>
    </row>
    <row r="409" spans="1:16" ht="20" customHeight="1" x14ac:dyDescent="0.2">
      <c r="A409" s="2"/>
      <c r="B409" s="29"/>
      <c r="C409" s="89" t="s">
        <v>412</v>
      </c>
      <c r="D409" s="90"/>
      <c r="E409" s="90"/>
      <c r="F409" s="90"/>
      <c r="G409" s="90"/>
      <c r="H409" s="90"/>
      <c r="I409" s="90"/>
      <c r="J409" s="90"/>
      <c r="K409" s="90"/>
      <c r="L409" s="90"/>
      <c r="M409" s="90"/>
      <c r="N409" s="90"/>
      <c r="O409" s="90"/>
      <c r="P409" s="19"/>
    </row>
    <row r="410" spans="1:16" ht="80" customHeight="1" x14ac:dyDescent="0.2">
      <c r="A410" s="2"/>
      <c r="B410" s="29"/>
      <c r="C410" s="85" t="s">
        <v>413</v>
      </c>
      <c r="D410" s="86"/>
      <c r="E410" s="86"/>
      <c r="F410" s="4"/>
      <c r="G410" s="1" t="s">
        <v>415</v>
      </c>
      <c r="H410" s="4"/>
      <c r="I410" s="1" t="s">
        <v>417</v>
      </c>
      <c r="J410" s="4"/>
      <c r="P410" s="18"/>
    </row>
    <row r="411" spans="1:16" ht="32" customHeight="1" x14ac:dyDescent="0.2">
      <c r="A411" s="3"/>
      <c r="B411" s="30"/>
      <c r="C411" s="87" t="s">
        <v>414</v>
      </c>
      <c r="D411" s="88"/>
      <c r="E411" s="88"/>
      <c r="F411" s="20"/>
      <c r="G411" s="21" t="s">
        <v>416</v>
      </c>
      <c r="H411" s="20"/>
      <c r="I411" s="21" t="s">
        <v>418</v>
      </c>
      <c r="J411" s="20"/>
      <c r="K411" s="22"/>
      <c r="L411" s="22"/>
      <c r="M411" s="22"/>
      <c r="N411" s="22"/>
      <c r="O411" s="22"/>
      <c r="P411" s="23"/>
    </row>
    <row r="413" spans="1:16" x14ac:dyDescent="0.2">
      <c r="A413" s="24" t="s">
        <v>419</v>
      </c>
    </row>
    <row r="414" spans="1:16" ht="22" x14ac:dyDescent="0.2">
      <c r="A414" s="25" t="s">
        <v>420</v>
      </c>
    </row>
    <row r="415" spans="1:16" ht="32" x14ac:dyDescent="0.2">
      <c r="A415" s="26" t="s">
        <v>421</v>
      </c>
    </row>
    <row r="416" spans="1:16" ht="32" x14ac:dyDescent="0.2">
      <c r="A416" s="26" t="s">
        <v>422</v>
      </c>
    </row>
    <row r="417" spans="1:1" x14ac:dyDescent="0.2">
      <c r="A417" s="26" t="s">
        <v>423</v>
      </c>
    </row>
    <row r="418" spans="1:1" ht="32" x14ac:dyDescent="0.2">
      <c r="A418" s="26" t="s">
        <v>424</v>
      </c>
    </row>
    <row r="419" spans="1:1" ht="48" x14ac:dyDescent="0.2">
      <c r="A419" s="26" t="s">
        <v>425</v>
      </c>
    </row>
    <row r="420" spans="1:1" ht="48" x14ac:dyDescent="0.2">
      <c r="A420" s="26" t="s">
        <v>426</v>
      </c>
    </row>
    <row r="421" spans="1:1" ht="32" x14ac:dyDescent="0.2">
      <c r="A421" s="26" t="s">
        <v>427</v>
      </c>
    </row>
    <row r="422" spans="1:1" ht="22" x14ac:dyDescent="0.2">
      <c r="A422" s="25" t="s">
        <v>428</v>
      </c>
    </row>
    <row r="423" spans="1:1" ht="32" x14ac:dyDescent="0.2">
      <c r="A423" s="26" t="s">
        <v>429</v>
      </c>
    </row>
    <row r="424" spans="1:1" x14ac:dyDescent="0.2">
      <c r="A424" s="27" t="s">
        <v>430</v>
      </c>
    </row>
    <row r="425" spans="1:1" x14ac:dyDescent="0.2">
      <c r="A425" s="28" t="s">
        <v>431</v>
      </c>
    </row>
    <row r="426" spans="1:1" x14ac:dyDescent="0.2">
      <c r="A426" s="28" t="s">
        <v>432</v>
      </c>
    </row>
    <row r="427" spans="1:1" ht="28" x14ac:dyDescent="0.2">
      <c r="A427" s="28" t="s">
        <v>433</v>
      </c>
    </row>
    <row r="428" spans="1:1" x14ac:dyDescent="0.2">
      <c r="A428" s="28" t="s">
        <v>434</v>
      </c>
    </row>
    <row r="429" spans="1:1" x14ac:dyDescent="0.2">
      <c r="A429" s="28" t="s">
        <v>435</v>
      </c>
    </row>
    <row r="430" spans="1:1" x14ac:dyDescent="0.2">
      <c r="A430" s="24"/>
    </row>
  </sheetData>
  <mergeCells count="410">
    <mergeCell ref="I4:J4"/>
    <mergeCell ref="C408:O408"/>
    <mergeCell ref="C410:E410"/>
    <mergeCell ref="C411:E411"/>
    <mergeCell ref="C409:O409"/>
    <mergeCell ref="I6:J6"/>
    <mergeCell ref="I5:J5"/>
    <mergeCell ref="I8:J8"/>
    <mergeCell ref="I7:J7"/>
    <mergeCell ref="I10:J10"/>
    <mergeCell ref="I9:J9"/>
    <mergeCell ref="I12:J12"/>
    <mergeCell ref="I11:J11"/>
    <mergeCell ref="I14:J14"/>
    <mergeCell ref="I13:J13"/>
    <mergeCell ref="I16:J16"/>
    <mergeCell ref="I15:J15"/>
    <mergeCell ref="I18:J18"/>
    <mergeCell ref="I17:J17"/>
    <mergeCell ref="I20:J20"/>
    <mergeCell ref="I19:J19"/>
    <mergeCell ref="I22:J22"/>
    <mergeCell ref="I21:J21"/>
    <mergeCell ref="I24:J24"/>
    <mergeCell ref="I23:J23"/>
    <mergeCell ref="I26:J26"/>
    <mergeCell ref="I25:J25"/>
    <mergeCell ref="I28:J28"/>
    <mergeCell ref="I27:J27"/>
    <mergeCell ref="I30:J30"/>
    <mergeCell ref="I29:J29"/>
    <mergeCell ref="I32:J32"/>
    <mergeCell ref="I31:J31"/>
    <mergeCell ref="I34:J34"/>
    <mergeCell ref="I33:J33"/>
    <mergeCell ref="I36:J36"/>
    <mergeCell ref="I35:J35"/>
    <mergeCell ref="I38:J38"/>
    <mergeCell ref="I37:J37"/>
    <mergeCell ref="I40:J40"/>
    <mergeCell ref="I39:J39"/>
    <mergeCell ref="I42:J42"/>
    <mergeCell ref="I41:J41"/>
    <mergeCell ref="I44:J44"/>
    <mergeCell ref="I43:J43"/>
    <mergeCell ref="I46:J46"/>
    <mergeCell ref="I45:J45"/>
    <mergeCell ref="I48:J48"/>
    <mergeCell ref="I47:J47"/>
    <mergeCell ref="I50:J50"/>
    <mergeCell ref="I49:J49"/>
    <mergeCell ref="I52:J52"/>
    <mergeCell ref="I51:J51"/>
    <mergeCell ref="I54:J54"/>
    <mergeCell ref="I53:J53"/>
    <mergeCell ref="I56:J56"/>
    <mergeCell ref="I55:J55"/>
    <mergeCell ref="I58:J58"/>
    <mergeCell ref="I57:J57"/>
    <mergeCell ref="I60:J60"/>
    <mergeCell ref="I59:J59"/>
    <mergeCell ref="I62:J62"/>
    <mergeCell ref="I61:J61"/>
    <mergeCell ref="I64:J64"/>
    <mergeCell ref="I63:J63"/>
    <mergeCell ref="I66:J66"/>
    <mergeCell ref="I65:J65"/>
    <mergeCell ref="I68:J68"/>
    <mergeCell ref="I67:J67"/>
    <mergeCell ref="I70:J70"/>
    <mergeCell ref="I69:J69"/>
    <mergeCell ref="I72:J72"/>
    <mergeCell ref="I71:J71"/>
    <mergeCell ref="I74:J74"/>
    <mergeCell ref="I73:J73"/>
    <mergeCell ref="I76:J76"/>
    <mergeCell ref="I75:J75"/>
    <mergeCell ref="I78:J78"/>
    <mergeCell ref="I77:J77"/>
    <mergeCell ref="I80:J80"/>
    <mergeCell ref="I79:J79"/>
    <mergeCell ref="I82:J82"/>
    <mergeCell ref="I81:J81"/>
    <mergeCell ref="I84:J84"/>
    <mergeCell ref="I83:J83"/>
    <mergeCell ref="I86:J86"/>
    <mergeCell ref="I85:J85"/>
    <mergeCell ref="I88:J88"/>
    <mergeCell ref="I87:J87"/>
    <mergeCell ref="I90:J90"/>
    <mergeCell ref="I89:J89"/>
    <mergeCell ref="I92:J92"/>
    <mergeCell ref="I91:J91"/>
    <mergeCell ref="I94:J94"/>
    <mergeCell ref="I93:J93"/>
    <mergeCell ref="I96:J96"/>
    <mergeCell ref="I95:J95"/>
    <mergeCell ref="I98:J98"/>
    <mergeCell ref="I97:J97"/>
    <mergeCell ref="I100:J100"/>
    <mergeCell ref="I99:J99"/>
    <mergeCell ref="I102:J102"/>
    <mergeCell ref="I101:J101"/>
    <mergeCell ref="I104:J104"/>
    <mergeCell ref="I103:J103"/>
    <mergeCell ref="I106:J106"/>
    <mergeCell ref="I105:J105"/>
    <mergeCell ref="I108:J108"/>
    <mergeCell ref="I107:J107"/>
    <mergeCell ref="I110:J110"/>
    <mergeCell ref="I109:J109"/>
    <mergeCell ref="I112:J112"/>
    <mergeCell ref="I111:J111"/>
    <mergeCell ref="I114:J114"/>
    <mergeCell ref="I113:J113"/>
    <mergeCell ref="I116:J116"/>
    <mergeCell ref="I115:J115"/>
    <mergeCell ref="I118:J118"/>
    <mergeCell ref="I117:J117"/>
    <mergeCell ref="I120:J120"/>
    <mergeCell ref="I119:J119"/>
    <mergeCell ref="I122:J122"/>
    <mergeCell ref="I121:J121"/>
    <mergeCell ref="I124:J124"/>
    <mergeCell ref="I123:J123"/>
    <mergeCell ref="I126:J126"/>
    <mergeCell ref="I125:J125"/>
    <mergeCell ref="I128:J128"/>
    <mergeCell ref="I127:J127"/>
    <mergeCell ref="I130:J130"/>
    <mergeCell ref="I129:J129"/>
    <mergeCell ref="I132:J132"/>
    <mergeCell ref="I131:J131"/>
    <mergeCell ref="I134:J134"/>
    <mergeCell ref="I133:J133"/>
    <mergeCell ref="I136:J136"/>
    <mergeCell ref="I135:J135"/>
    <mergeCell ref="I138:J138"/>
    <mergeCell ref="I137:J137"/>
    <mergeCell ref="I140:J140"/>
    <mergeCell ref="I139:J139"/>
    <mergeCell ref="I142:J142"/>
    <mergeCell ref="I141:J141"/>
    <mergeCell ref="I144:J144"/>
    <mergeCell ref="I143:J143"/>
    <mergeCell ref="I146:J146"/>
    <mergeCell ref="I145:J145"/>
    <mergeCell ref="I148:J148"/>
    <mergeCell ref="I147:J147"/>
    <mergeCell ref="I150:J150"/>
    <mergeCell ref="I149:J149"/>
    <mergeCell ref="I152:J152"/>
    <mergeCell ref="I151:J151"/>
    <mergeCell ref="I154:J154"/>
    <mergeCell ref="I153:J153"/>
    <mergeCell ref="I156:J156"/>
    <mergeCell ref="I155:J155"/>
    <mergeCell ref="I158:J158"/>
    <mergeCell ref="I157:J157"/>
    <mergeCell ref="I160:J160"/>
    <mergeCell ref="I159:J159"/>
    <mergeCell ref="I162:J162"/>
    <mergeCell ref="I161:J161"/>
    <mergeCell ref="I164:J164"/>
    <mergeCell ref="I163:J163"/>
    <mergeCell ref="I166:J166"/>
    <mergeCell ref="I165:J165"/>
    <mergeCell ref="I168:J168"/>
    <mergeCell ref="I167:J167"/>
    <mergeCell ref="I170:J170"/>
    <mergeCell ref="I169:J169"/>
    <mergeCell ref="I172:J172"/>
    <mergeCell ref="I171:J171"/>
    <mergeCell ref="I174:J174"/>
    <mergeCell ref="I173:J173"/>
    <mergeCell ref="I176:J176"/>
    <mergeCell ref="I175:J175"/>
    <mergeCell ref="I178:J178"/>
    <mergeCell ref="I177:J177"/>
    <mergeCell ref="I180:J180"/>
    <mergeCell ref="I179:J179"/>
    <mergeCell ref="I182:J182"/>
    <mergeCell ref="I181:J181"/>
    <mergeCell ref="I184:J184"/>
    <mergeCell ref="I183:J183"/>
    <mergeCell ref="I186:J186"/>
    <mergeCell ref="I185:J185"/>
    <mergeCell ref="I188:J188"/>
    <mergeCell ref="I187:J187"/>
    <mergeCell ref="I190:J190"/>
    <mergeCell ref="I189:J189"/>
    <mergeCell ref="I192:J192"/>
    <mergeCell ref="I191:J191"/>
    <mergeCell ref="I194:J194"/>
    <mergeCell ref="I193:J193"/>
    <mergeCell ref="I196:J196"/>
    <mergeCell ref="I195:J195"/>
    <mergeCell ref="I198:J198"/>
    <mergeCell ref="I197:J197"/>
    <mergeCell ref="I200:J200"/>
    <mergeCell ref="I199:J199"/>
    <mergeCell ref="I202:J202"/>
    <mergeCell ref="I201:J201"/>
    <mergeCell ref="I204:J204"/>
    <mergeCell ref="I203:J203"/>
    <mergeCell ref="I206:J206"/>
    <mergeCell ref="I205:J205"/>
    <mergeCell ref="I208:J208"/>
    <mergeCell ref="I207:J207"/>
    <mergeCell ref="I210:J210"/>
    <mergeCell ref="I209:J209"/>
    <mergeCell ref="I212:J212"/>
    <mergeCell ref="I211:J211"/>
    <mergeCell ref="I214:J214"/>
    <mergeCell ref="I213:J213"/>
    <mergeCell ref="I216:J216"/>
    <mergeCell ref="I215:J215"/>
    <mergeCell ref="I218:J218"/>
    <mergeCell ref="I217:J217"/>
    <mergeCell ref="I220:J220"/>
    <mergeCell ref="I219:J219"/>
    <mergeCell ref="I222:J222"/>
    <mergeCell ref="I221:J221"/>
    <mergeCell ref="I224:J224"/>
    <mergeCell ref="I223:J223"/>
    <mergeCell ref="I226:J226"/>
    <mergeCell ref="I225:J225"/>
    <mergeCell ref="I228:J228"/>
    <mergeCell ref="I227:J227"/>
    <mergeCell ref="I230:J230"/>
    <mergeCell ref="I229:J229"/>
    <mergeCell ref="I232:J232"/>
    <mergeCell ref="I231:J231"/>
    <mergeCell ref="I234:J234"/>
    <mergeCell ref="I233:J233"/>
    <mergeCell ref="I236:J236"/>
    <mergeCell ref="I235:J235"/>
    <mergeCell ref="I238:J238"/>
    <mergeCell ref="I237:J237"/>
    <mergeCell ref="I240:J240"/>
    <mergeCell ref="I239:J239"/>
    <mergeCell ref="I242:J242"/>
    <mergeCell ref="I241:J241"/>
    <mergeCell ref="I244:J244"/>
    <mergeCell ref="I243:J243"/>
    <mergeCell ref="I246:J246"/>
    <mergeCell ref="I245:J245"/>
    <mergeCell ref="I248:J248"/>
    <mergeCell ref="I247:J247"/>
    <mergeCell ref="I250:J250"/>
    <mergeCell ref="I249:J249"/>
    <mergeCell ref="I252:J252"/>
    <mergeCell ref="I251:J251"/>
    <mergeCell ref="I254:J254"/>
    <mergeCell ref="I253:J253"/>
    <mergeCell ref="I256:J256"/>
    <mergeCell ref="I255:J255"/>
    <mergeCell ref="I258:J258"/>
    <mergeCell ref="I257:J257"/>
    <mergeCell ref="I260:J260"/>
    <mergeCell ref="I259:J259"/>
    <mergeCell ref="I262:J262"/>
    <mergeCell ref="I261:J261"/>
    <mergeCell ref="I264:J264"/>
    <mergeCell ref="I263:J263"/>
    <mergeCell ref="I266:J266"/>
    <mergeCell ref="I265:J265"/>
    <mergeCell ref="I268:J268"/>
    <mergeCell ref="I267:J267"/>
    <mergeCell ref="I270:J270"/>
    <mergeCell ref="I269:J269"/>
    <mergeCell ref="I272:J272"/>
    <mergeCell ref="I271:J271"/>
    <mergeCell ref="I274:J274"/>
    <mergeCell ref="I273:J273"/>
    <mergeCell ref="I276:J276"/>
    <mergeCell ref="I275:J275"/>
    <mergeCell ref="I278:J278"/>
    <mergeCell ref="I277:J277"/>
    <mergeCell ref="I280:J280"/>
    <mergeCell ref="I279:J279"/>
    <mergeCell ref="I282:J282"/>
    <mergeCell ref="I281:J281"/>
    <mergeCell ref="I284:J284"/>
    <mergeCell ref="I283:J283"/>
    <mergeCell ref="I286:J286"/>
    <mergeCell ref="I285:J285"/>
    <mergeCell ref="I288:J288"/>
    <mergeCell ref="I287:J287"/>
    <mergeCell ref="I290:J290"/>
    <mergeCell ref="I289:J289"/>
    <mergeCell ref="I292:J292"/>
    <mergeCell ref="I291:J291"/>
    <mergeCell ref="I294:J294"/>
    <mergeCell ref="I293:J293"/>
    <mergeCell ref="I296:J296"/>
    <mergeCell ref="I295:J295"/>
    <mergeCell ref="I298:J298"/>
    <mergeCell ref="I297:J297"/>
    <mergeCell ref="I300:J300"/>
    <mergeCell ref="I299:J299"/>
    <mergeCell ref="I302:J302"/>
    <mergeCell ref="I301:J301"/>
    <mergeCell ref="I304:J304"/>
    <mergeCell ref="I303:J303"/>
    <mergeCell ref="I306:J306"/>
    <mergeCell ref="I305:J305"/>
    <mergeCell ref="I308:J308"/>
    <mergeCell ref="I307:J307"/>
    <mergeCell ref="I310:J310"/>
    <mergeCell ref="I309:J309"/>
    <mergeCell ref="I312:J312"/>
    <mergeCell ref="I311:J311"/>
    <mergeCell ref="I314:J314"/>
    <mergeCell ref="I313:J313"/>
    <mergeCell ref="I316:J316"/>
    <mergeCell ref="I315:J315"/>
    <mergeCell ref="I318:J318"/>
    <mergeCell ref="I317:J317"/>
    <mergeCell ref="I320:J320"/>
    <mergeCell ref="I319:J319"/>
    <mergeCell ref="I322:J322"/>
    <mergeCell ref="I321:J321"/>
    <mergeCell ref="I324:J324"/>
    <mergeCell ref="I323:J323"/>
    <mergeCell ref="I326:J326"/>
    <mergeCell ref="I325:J325"/>
    <mergeCell ref="I328:J328"/>
    <mergeCell ref="I327:J327"/>
    <mergeCell ref="I330:J330"/>
    <mergeCell ref="I329:J329"/>
    <mergeCell ref="I332:J332"/>
    <mergeCell ref="I331:J331"/>
    <mergeCell ref="I334:J334"/>
    <mergeCell ref="I333:J333"/>
    <mergeCell ref="I336:J336"/>
    <mergeCell ref="I335:J335"/>
    <mergeCell ref="I338:J338"/>
    <mergeCell ref="I337:J337"/>
    <mergeCell ref="I340:J340"/>
    <mergeCell ref="I339:J339"/>
    <mergeCell ref="I342:J342"/>
    <mergeCell ref="I341:J341"/>
    <mergeCell ref="I344:J344"/>
    <mergeCell ref="I343:J343"/>
    <mergeCell ref="I346:J346"/>
    <mergeCell ref="I345:J345"/>
    <mergeCell ref="I348:J348"/>
    <mergeCell ref="I347:J347"/>
    <mergeCell ref="I350:J350"/>
    <mergeCell ref="I349:J349"/>
    <mergeCell ref="I352:J352"/>
    <mergeCell ref="I351:J351"/>
    <mergeCell ref="I354:J354"/>
    <mergeCell ref="I353:J353"/>
    <mergeCell ref="I356:J356"/>
    <mergeCell ref="I355:J355"/>
    <mergeCell ref="I358:J358"/>
    <mergeCell ref="I357:J357"/>
    <mergeCell ref="I360:J360"/>
    <mergeCell ref="I359:J359"/>
    <mergeCell ref="I362:J362"/>
    <mergeCell ref="I361:J361"/>
    <mergeCell ref="I364:J364"/>
    <mergeCell ref="I363:J363"/>
    <mergeCell ref="I366:J366"/>
    <mergeCell ref="I365:J365"/>
    <mergeCell ref="I368:J368"/>
    <mergeCell ref="I367:J367"/>
    <mergeCell ref="I370:J370"/>
    <mergeCell ref="I369:J369"/>
    <mergeCell ref="I372:J372"/>
    <mergeCell ref="I371:J371"/>
    <mergeCell ref="I374:J374"/>
    <mergeCell ref="I373:J373"/>
    <mergeCell ref="I376:J376"/>
    <mergeCell ref="I375:J375"/>
    <mergeCell ref="I378:J378"/>
    <mergeCell ref="I377:J377"/>
    <mergeCell ref="I380:J380"/>
    <mergeCell ref="I379:J379"/>
    <mergeCell ref="I382:J382"/>
    <mergeCell ref="I381:J381"/>
    <mergeCell ref="I384:J384"/>
    <mergeCell ref="I383:J383"/>
    <mergeCell ref="I386:J386"/>
    <mergeCell ref="I385:J385"/>
    <mergeCell ref="I388:J388"/>
    <mergeCell ref="I387:J387"/>
    <mergeCell ref="I390:J390"/>
    <mergeCell ref="I389:J389"/>
    <mergeCell ref="I392:J392"/>
    <mergeCell ref="I391:J391"/>
    <mergeCell ref="I404:J404"/>
    <mergeCell ref="I403:J403"/>
    <mergeCell ref="I407:J407"/>
    <mergeCell ref="G407:H407"/>
    <mergeCell ref="C407:F407"/>
    <mergeCell ref="I406:J406"/>
    <mergeCell ref="I405:J405"/>
    <mergeCell ref="I394:J394"/>
    <mergeCell ref="I393:J393"/>
    <mergeCell ref="I396:J396"/>
    <mergeCell ref="I395:J395"/>
    <mergeCell ref="I398:J398"/>
    <mergeCell ref="I397:J397"/>
    <mergeCell ref="I400:J400"/>
    <mergeCell ref="I399:J399"/>
    <mergeCell ref="I402:J402"/>
    <mergeCell ref="I401:J401"/>
  </mergeCells>
  <hyperlinks>
    <hyperlink ref="I4" display="אחוז שינוי"/>
    <hyperlink ref="K4" display="תמורה באלפים"/>
    <hyperlink ref="L4" display="תשואה השבוע"/>
    <hyperlink ref="M4" display="תשואה החודש"/>
    <hyperlink ref="N4" display="תשואה השנה"/>
    <hyperlink ref="O4" display="זמן עדכון"/>
    <hyperlink ref="C407" r:id="rId1"/>
    <hyperlink ref="C410" r:id="rId2"/>
    <hyperlink ref="C411" r:id="rId3"/>
    <hyperlink ref="G410" r:id="rId4" display="יותר ויותר שכירים גילו בשנים האחרונות את האפשרות לקבלת החזרי מס על תשלומי יתר ששילמו במהלך השנים. כל הייעוץ, הטיפול ובדיקת הזכאות מתבצעים בחינם!_x000a_"/>
    <hyperlink ref="G411" r:id="rId5"/>
    <hyperlink ref="I410" r:id="rId6"/>
    <hyperlink ref="I411" r:id="rId7"/>
    <hyperlink ref="B3" display="שער אחרון"/>
    <hyperlink ref="C3" display="אחוז שינוי"/>
    <hyperlink ref="D3" display="תמורה באלפים"/>
    <hyperlink ref="E3" display="תשואה השבוע"/>
    <hyperlink ref="F3" display="תשואה החודש"/>
    <hyperlink ref="G3" display="תשואה השנה"/>
    <hyperlink ref="H3" display="זמן עדכון"/>
    <hyperlink ref="A4" r:id="rId8"/>
    <hyperlink ref="A5" r:id="rId9"/>
    <hyperlink ref="A6" r:id="rId10"/>
    <hyperlink ref="A7" r:id="rId11"/>
    <hyperlink ref="A8" r:id="rId12"/>
    <hyperlink ref="A9" r:id="rId13"/>
    <hyperlink ref="A10" r:id="rId14"/>
    <hyperlink ref="A11" r:id="rId15"/>
    <hyperlink ref="A12" r:id="rId16"/>
    <hyperlink ref="A13" r:id="rId17"/>
    <hyperlink ref="A14" r:id="rId18"/>
    <hyperlink ref="A15" r:id="rId19"/>
    <hyperlink ref="A16" r:id="rId20"/>
    <hyperlink ref="A17" r:id="rId21"/>
    <hyperlink ref="A18" r:id="rId22"/>
    <hyperlink ref="A19" r:id="rId23"/>
    <hyperlink ref="A20" r:id="rId24"/>
    <hyperlink ref="A21" r:id="rId25"/>
    <hyperlink ref="A22" r:id="rId26"/>
    <hyperlink ref="A23" r:id="rId27"/>
    <hyperlink ref="A24" r:id="rId28"/>
    <hyperlink ref="A25" r:id="rId29"/>
    <hyperlink ref="A26" r:id="rId30"/>
    <hyperlink ref="A27" r:id="rId31"/>
    <hyperlink ref="A28" r:id="rId32"/>
    <hyperlink ref="A29" r:id="rId33"/>
    <hyperlink ref="A30" r:id="rId34"/>
    <hyperlink ref="A31" r:id="rId35"/>
    <hyperlink ref="A32" r:id="rId36"/>
    <hyperlink ref="A33" r:id="rId37"/>
    <hyperlink ref="A34" r:id="rId38"/>
    <hyperlink ref="A35" r:id="rId39"/>
    <hyperlink ref="A36" r:id="rId40"/>
    <hyperlink ref="A37" r:id="rId41"/>
    <hyperlink ref="A38" r:id="rId42"/>
    <hyperlink ref="A39" r:id="rId43"/>
    <hyperlink ref="A40" r:id="rId44"/>
    <hyperlink ref="A41" r:id="rId45"/>
    <hyperlink ref="A42" r:id="rId46"/>
    <hyperlink ref="A43" r:id="rId47"/>
    <hyperlink ref="A44" r:id="rId48"/>
    <hyperlink ref="A45" r:id="rId49"/>
    <hyperlink ref="A46" r:id="rId50"/>
    <hyperlink ref="A47" r:id="rId51"/>
    <hyperlink ref="A48" r:id="rId52"/>
    <hyperlink ref="A49" r:id="rId53"/>
    <hyperlink ref="A50" r:id="rId54"/>
    <hyperlink ref="A51" r:id="rId55"/>
    <hyperlink ref="A52" r:id="rId56"/>
    <hyperlink ref="A53" r:id="rId57"/>
    <hyperlink ref="A54" r:id="rId58"/>
    <hyperlink ref="A55" r:id="rId59"/>
    <hyperlink ref="A56" r:id="rId60"/>
    <hyperlink ref="A57" r:id="rId61"/>
    <hyperlink ref="A58" r:id="rId62"/>
    <hyperlink ref="A59" r:id="rId63"/>
    <hyperlink ref="A60" r:id="rId64"/>
    <hyperlink ref="A61" r:id="rId65"/>
    <hyperlink ref="A62" r:id="rId66"/>
    <hyperlink ref="A63" r:id="rId67"/>
    <hyperlink ref="A64" r:id="rId68"/>
    <hyperlink ref="A65" r:id="rId69"/>
    <hyperlink ref="A66" r:id="rId70"/>
    <hyperlink ref="A67" r:id="rId71"/>
    <hyperlink ref="A68" r:id="rId72"/>
    <hyperlink ref="A69" r:id="rId73"/>
    <hyperlink ref="A70" r:id="rId74"/>
    <hyperlink ref="A71" r:id="rId75"/>
    <hyperlink ref="A72" r:id="rId76"/>
    <hyperlink ref="A73" r:id="rId77"/>
    <hyperlink ref="A74" r:id="rId78"/>
    <hyperlink ref="A75" r:id="rId79"/>
    <hyperlink ref="A76" r:id="rId80"/>
    <hyperlink ref="A77" r:id="rId81"/>
    <hyperlink ref="A78" r:id="rId82"/>
    <hyperlink ref="A79" r:id="rId83"/>
    <hyperlink ref="A80" r:id="rId84"/>
    <hyperlink ref="A81" r:id="rId85"/>
    <hyperlink ref="A82" r:id="rId86"/>
    <hyperlink ref="A83" r:id="rId87"/>
    <hyperlink ref="A84" r:id="rId88"/>
    <hyperlink ref="A85" r:id="rId89"/>
    <hyperlink ref="A86" r:id="rId90"/>
    <hyperlink ref="A87" r:id="rId91"/>
    <hyperlink ref="A88" r:id="rId92"/>
    <hyperlink ref="A89" r:id="rId93"/>
    <hyperlink ref="A90" r:id="rId94"/>
    <hyperlink ref="A91" r:id="rId95"/>
    <hyperlink ref="A92" r:id="rId96"/>
    <hyperlink ref="A93" r:id="rId97"/>
    <hyperlink ref="A94" r:id="rId98"/>
    <hyperlink ref="A95" r:id="rId99"/>
    <hyperlink ref="A96" r:id="rId100"/>
    <hyperlink ref="A97" r:id="rId101"/>
    <hyperlink ref="A98" r:id="rId102"/>
    <hyperlink ref="A99" r:id="rId103"/>
    <hyperlink ref="A100" r:id="rId104"/>
    <hyperlink ref="A101" r:id="rId105"/>
    <hyperlink ref="A102" r:id="rId106"/>
    <hyperlink ref="A103" r:id="rId107"/>
    <hyperlink ref="A104" r:id="rId108"/>
    <hyperlink ref="A105" r:id="rId109"/>
    <hyperlink ref="A106" r:id="rId110"/>
    <hyperlink ref="A107" r:id="rId111"/>
    <hyperlink ref="A108" r:id="rId112"/>
    <hyperlink ref="A109" r:id="rId113"/>
    <hyperlink ref="A110" r:id="rId114"/>
    <hyperlink ref="A111" r:id="rId115"/>
    <hyperlink ref="A112" r:id="rId116"/>
    <hyperlink ref="A113" r:id="rId117"/>
    <hyperlink ref="A114" r:id="rId118"/>
    <hyperlink ref="A115" r:id="rId119"/>
    <hyperlink ref="A116" r:id="rId120"/>
    <hyperlink ref="A117" r:id="rId121"/>
    <hyperlink ref="A118" r:id="rId122"/>
    <hyperlink ref="A119" r:id="rId123"/>
    <hyperlink ref="A120" r:id="rId124"/>
    <hyperlink ref="A121" r:id="rId125"/>
    <hyperlink ref="A122" r:id="rId126"/>
    <hyperlink ref="A123" r:id="rId127"/>
    <hyperlink ref="A124" r:id="rId128"/>
    <hyperlink ref="A125" r:id="rId129"/>
    <hyperlink ref="A126" r:id="rId130"/>
    <hyperlink ref="A127" r:id="rId131"/>
    <hyperlink ref="A128" r:id="rId132"/>
    <hyperlink ref="A129" r:id="rId133"/>
    <hyperlink ref="A130" r:id="rId134"/>
    <hyperlink ref="A131" r:id="rId135"/>
    <hyperlink ref="A132" r:id="rId136"/>
    <hyperlink ref="A133" r:id="rId137"/>
    <hyperlink ref="A134" r:id="rId138"/>
    <hyperlink ref="A135" r:id="rId139"/>
    <hyperlink ref="A136" r:id="rId140"/>
    <hyperlink ref="A137" r:id="rId141"/>
    <hyperlink ref="A138" r:id="rId142"/>
    <hyperlink ref="A139" r:id="rId143"/>
    <hyperlink ref="A140" r:id="rId144"/>
    <hyperlink ref="A141" r:id="rId145"/>
    <hyperlink ref="A142" r:id="rId146"/>
    <hyperlink ref="A143" r:id="rId147"/>
    <hyperlink ref="A144" r:id="rId148"/>
    <hyperlink ref="A145" r:id="rId149"/>
    <hyperlink ref="A146" r:id="rId150"/>
    <hyperlink ref="A147" r:id="rId151"/>
    <hyperlink ref="A148" r:id="rId152"/>
    <hyperlink ref="A149" r:id="rId153"/>
    <hyperlink ref="A150" r:id="rId154"/>
    <hyperlink ref="A151" r:id="rId155"/>
    <hyperlink ref="A152" r:id="rId156"/>
    <hyperlink ref="A153" r:id="rId157"/>
    <hyperlink ref="A154" r:id="rId158"/>
    <hyperlink ref="A155" r:id="rId159"/>
    <hyperlink ref="A156" r:id="rId160"/>
    <hyperlink ref="A157" r:id="rId161"/>
    <hyperlink ref="A158" r:id="rId162"/>
    <hyperlink ref="A159" r:id="rId163"/>
    <hyperlink ref="A160" r:id="rId164"/>
    <hyperlink ref="A161" r:id="rId165"/>
    <hyperlink ref="A162" r:id="rId166"/>
    <hyperlink ref="A163" r:id="rId167"/>
    <hyperlink ref="A164" r:id="rId168"/>
    <hyperlink ref="A165" r:id="rId169"/>
    <hyperlink ref="A166" r:id="rId170"/>
    <hyperlink ref="A167" r:id="rId171"/>
    <hyperlink ref="A168" r:id="rId172"/>
    <hyperlink ref="A169" r:id="rId173"/>
    <hyperlink ref="A170" r:id="rId174"/>
    <hyperlink ref="A171" r:id="rId175"/>
    <hyperlink ref="A172" r:id="rId176"/>
    <hyperlink ref="A173" r:id="rId177"/>
    <hyperlink ref="A174" r:id="rId178"/>
    <hyperlink ref="A175" r:id="rId179"/>
    <hyperlink ref="A176" r:id="rId180"/>
    <hyperlink ref="A177" r:id="rId181"/>
    <hyperlink ref="A178" r:id="rId182"/>
    <hyperlink ref="A179" r:id="rId183"/>
    <hyperlink ref="A180" r:id="rId184"/>
    <hyperlink ref="A181" r:id="rId185"/>
    <hyperlink ref="A182" r:id="rId186"/>
    <hyperlink ref="A183" r:id="rId187"/>
    <hyperlink ref="A184" r:id="rId188"/>
    <hyperlink ref="A185" r:id="rId189"/>
    <hyperlink ref="A186" r:id="rId190"/>
    <hyperlink ref="A187" r:id="rId191"/>
    <hyperlink ref="A188" r:id="rId192"/>
    <hyperlink ref="A189" r:id="rId193"/>
    <hyperlink ref="A190" r:id="rId194"/>
    <hyperlink ref="A191" r:id="rId195"/>
    <hyperlink ref="A192" r:id="rId196"/>
    <hyperlink ref="A193" r:id="rId197"/>
    <hyperlink ref="A194" r:id="rId198"/>
    <hyperlink ref="A195" r:id="rId199"/>
    <hyperlink ref="A196" r:id="rId200"/>
    <hyperlink ref="A197" r:id="rId201"/>
    <hyperlink ref="A198" r:id="rId202"/>
    <hyperlink ref="A199" r:id="rId203"/>
    <hyperlink ref="A200" r:id="rId204"/>
    <hyperlink ref="A201" r:id="rId205"/>
    <hyperlink ref="A202" r:id="rId206"/>
    <hyperlink ref="A203" r:id="rId207"/>
    <hyperlink ref="A204" r:id="rId208"/>
    <hyperlink ref="A205" r:id="rId209"/>
    <hyperlink ref="A206" r:id="rId210"/>
    <hyperlink ref="A207" r:id="rId211"/>
    <hyperlink ref="A208" r:id="rId212"/>
    <hyperlink ref="A209" r:id="rId213"/>
    <hyperlink ref="A210" r:id="rId214"/>
    <hyperlink ref="A211" r:id="rId215"/>
    <hyperlink ref="A212" r:id="rId216"/>
    <hyperlink ref="A213" r:id="rId217"/>
    <hyperlink ref="A214" r:id="rId218"/>
    <hyperlink ref="A215" r:id="rId219"/>
    <hyperlink ref="A216" r:id="rId220"/>
    <hyperlink ref="A217" r:id="rId221"/>
    <hyperlink ref="A218" r:id="rId222"/>
    <hyperlink ref="A219" r:id="rId223"/>
    <hyperlink ref="A220" r:id="rId224"/>
    <hyperlink ref="A221" r:id="rId225"/>
    <hyperlink ref="A222" r:id="rId226"/>
    <hyperlink ref="A223" r:id="rId227"/>
    <hyperlink ref="A224" r:id="rId228"/>
    <hyperlink ref="A225" r:id="rId229"/>
    <hyperlink ref="A226" r:id="rId230"/>
    <hyperlink ref="A227" r:id="rId231"/>
    <hyperlink ref="A228" r:id="rId232"/>
    <hyperlink ref="A229" r:id="rId233"/>
    <hyperlink ref="A230" r:id="rId234"/>
    <hyperlink ref="A231" r:id="rId235"/>
    <hyperlink ref="A232" r:id="rId236"/>
    <hyperlink ref="A233" r:id="rId237"/>
    <hyperlink ref="A234" r:id="rId238"/>
    <hyperlink ref="A235" r:id="rId239"/>
    <hyperlink ref="A236" r:id="rId240"/>
    <hyperlink ref="A237" r:id="rId241"/>
    <hyperlink ref="A238" r:id="rId242"/>
    <hyperlink ref="A239" r:id="rId243"/>
    <hyperlink ref="A240" r:id="rId244"/>
    <hyperlink ref="A241" r:id="rId245"/>
    <hyperlink ref="A242" r:id="rId246"/>
    <hyperlink ref="A243" r:id="rId247"/>
    <hyperlink ref="A244" r:id="rId248"/>
    <hyperlink ref="A245" r:id="rId249"/>
    <hyperlink ref="A246" r:id="rId250"/>
    <hyperlink ref="A247" r:id="rId251"/>
    <hyperlink ref="A248" r:id="rId252"/>
    <hyperlink ref="A249" r:id="rId253"/>
    <hyperlink ref="A250" r:id="rId254"/>
    <hyperlink ref="A251" r:id="rId255"/>
    <hyperlink ref="A252" r:id="rId256"/>
    <hyperlink ref="A253" r:id="rId257"/>
    <hyperlink ref="A254" r:id="rId258"/>
    <hyperlink ref="A255" r:id="rId259"/>
    <hyperlink ref="A256" r:id="rId260"/>
    <hyperlink ref="A257" r:id="rId261"/>
    <hyperlink ref="A258" r:id="rId262"/>
    <hyperlink ref="A259" r:id="rId263"/>
    <hyperlink ref="A260" r:id="rId264"/>
    <hyperlink ref="A261" r:id="rId265"/>
    <hyperlink ref="A262" r:id="rId266"/>
    <hyperlink ref="A263" r:id="rId267"/>
    <hyperlink ref="A264" r:id="rId268"/>
    <hyperlink ref="A265" r:id="rId269"/>
    <hyperlink ref="A266" r:id="rId270"/>
    <hyperlink ref="A267" r:id="rId271"/>
    <hyperlink ref="A268" r:id="rId272"/>
    <hyperlink ref="A269" r:id="rId273"/>
    <hyperlink ref="A270" r:id="rId274"/>
    <hyperlink ref="A271" r:id="rId275"/>
    <hyperlink ref="A272" r:id="rId276"/>
    <hyperlink ref="A273" r:id="rId277"/>
    <hyperlink ref="A274" r:id="rId278"/>
    <hyperlink ref="A275" r:id="rId279"/>
    <hyperlink ref="A276" r:id="rId280"/>
    <hyperlink ref="A277" r:id="rId281"/>
    <hyperlink ref="A278" r:id="rId282"/>
    <hyperlink ref="A279" r:id="rId283"/>
    <hyperlink ref="A280" r:id="rId284"/>
    <hyperlink ref="A281" r:id="rId285"/>
    <hyperlink ref="A282" r:id="rId286"/>
    <hyperlink ref="A283" r:id="rId287"/>
    <hyperlink ref="A284" r:id="rId288"/>
    <hyperlink ref="A285" r:id="rId289"/>
    <hyperlink ref="A286" r:id="rId290"/>
    <hyperlink ref="A287" r:id="rId291"/>
    <hyperlink ref="A288" r:id="rId292"/>
    <hyperlink ref="A289" r:id="rId293"/>
    <hyperlink ref="A290" r:id="rId294"/>
    <hyperlink ref="A291" r:id="rId295"/>
    <hyperlink ref="A292" r:id="rId296"/>
    <hyperlink ref="A293" r:id="rId297"/>
    <hyperlink ref="A294" r:id="rId298"/>
    <hyperlink ref="A295" r:id="rId299"/>
    <hyperlink ref="A296" r:id="rId300"/>
    <hyperlink ref="A297" r:id="rId301"/>
    <hyperlink ref="A298" r:id="rId302"/>
    <hyperlink ref="A299" r:id="rId303"/>
    <hyperlink ref="A300" r:id="rId304"/>
    <hyperlink ref="A301" r:id="rId305"/>
    <hyperlink ref="A302" r:id="rId306"/>
    <hyperlink ref="A303" r:id="rId307"/>
    <hyperlink ref="A304" r:id="rId308"/>
    <hyperlink ref="A305" r:id="rId309"/>
    <hyperlink ref="A306" r:id="rId310"/>
    <hyperlink ref="A307" r:id="rId311"/>
    <hyperlink ref="A308" r:id="rId312"/>
    <hyperlink ref="A309" r:id="rId313"/>
    <hyperlink ref="A310" r:id="rId314"/>
    <hyperlink ref="A311" r:id="rId315"/>
    <hyperlink ref="A312" r:id="rId316"/>
    <hyperlink ref="A313" r:id="rId317"/>
    <hyperlink ref="A314" r:id="rId318"/>
    <hyperlink ref="A315" r:id="rId319"/>
    <hyperlink ref="A316" r:id="rId320"/>
    <hyperlink ref="A317" r:id="rId321"/>
    <hyperlink ref="A318" r:id="rId322"/>
    <hyperlink ref="A319" r:id="rId323"/>
    <hyperlink ref="A320" r:id="rId324"/>
    <hyperlink ref="A321" r:id="rId325"/>
    <hyperlink ref="A322" r:id="rId326"/>
    <hyperlink ref="A323" r:id="rId327"/>
    <hyperlink ref="A324" r:id="rId328"/>
    <hyperlink ref="A325" r:id="rId329"/>
    <hyperlink ref="A326" r:id="rId330"/>
    <hyperlink ref="A327" r:id="rId331"/>
    <hyperlink ref="A328" r:id="rId332"/>
    <hyperlink ref="A329" r:id="rId333"/>
    <hyperlink ref="A330" r:id="rId334"/>
    <hyperlink ref="A331" r:id="rId335"/>
    <hyperlink ref="A332" r:id="rId336"/>
    <hyperlink ref="A333" r:id="rId337"/>
    <hyperlink ref="A334" r:id="rId338"/>
    <hyperlink ref="A335" r:id="rId339"/>
    <hyperlink ref="A336" r:id="rId340"/>
    <hyperlink ref="A337" r:id="rId341"/>
    <hyperlink ref="A338" r:id="rId342"/>
    <hyperlink ref="A339" r:id="rId343"/>
    <hyperlink ref="A340" r:id="rId344"/>
    <hyperlink ref="A341" r:id="rId345"/>
    <hyperlink ref="A342" r:id="rId346"/>
    <hyperlink ref="A343" r:id="rId347"/>
    <hyperlink ref="A344" r:id="rId348"/>
    <hyperlink ref="A345" r:id="rId349"/>
    <hyperlink ref="A346" r:id="rId350"/>
    <hyperlink ref="A347" r:id="rId351"/>
    <hyperlink ref="A348" r:id="rId352"/>
    <hyperlink ref="A349" r:id="rId353"/>
    <hyperlink ref="A350" r:id="rId354"/>
    <hyperlink ref="A351" r:id="rId355"/>
    <hyperlink ref="A352" r:id="rId356"/>
    <hyperlink ref="A353" r:id="rId357"/>
    <hyperlink ref="A354" r:id="rId358"/>
    <hyperlink ref="A355" r:id="rId359"/>
    <hyperlink ref="A356" r:id="rId360"/>
    <hyperlink ref="A357" r:id="rId361"/>
    <hyperlink ref="A358" r:id="rId362"/>
    <hyperlink ref="A359" r:id="rId363"/>
    <hyperlink ref="A360" r:id="rId364"/>
    <hyperlink ref="A361" r:id="rId365"/>
    <hyperlink ref="A362" r:id="rId366"/>
    <hyperlink ref="A363" r:id="rId367"/>
    <hyperlink ref="A364" r:id="rId368"/>
    <hyperlink ref="A365" r:id="rId369"/>
    <hyperlink ref="A366" r:id="rId370"/>
    <hyperlink ref="A367" r:id="rId371"/>
    <hyperlink ref="A368" r:id="rId372"/>
    <hyperlink ref="A369" r:id="rId373"/>
    <hyperlink ref="A370" r:id="rId374"/>
    <hyperlink ref="A371" r:id="rId375"/>
    <hyperlink ref="A372" r:id="rId376"/>
    <hyperlink ref="A373" r:id="rId377"/>
    <hyperlink ref="A374" r:id="rId378"/>
    <hyperlink ref="A375" r:id="rId379"/>
    <hyperlink ref="A376" r:id="rId380"/>
    <hyperlink ref="A377" r:id="rId381"/>
    <hyperlink ref="A378" r:id="rId382"/>
    <hyperlink ref="A379" r:id="rId383"/>
    <hyperlink ref="A380" r:id="rId384"/>
    <hyperlink ref="A381" r:id="rId385"/>
    <hyperlink ref="A382" r:id="rId386"/>
    <hyperlink ref="A383" r:id="rId387"/>
    <hyperlink ref="A384" r:id="rId388"/>
    <hyperlink ref="A385" r:id="rId389"/>
    <hyperlink ref="A386" r:id="rId390"/>
    <hyperlink ref="A387" r:id="rId391"/>
    <hyperlink ref="A388" r:id="rId392"/>
    <hyperlink ref="A389" r:id="rId393"/>
    <hyperlink ref="A390" r:id="rId394"/>
    <hyperlink ref="A391" r:id="rId395"/>
    <hyperlink ref="A392" r:id="rId396"/>
    <hyperlink ref="A393" r:id="rId397"/>
    <hyperlink ref="A394" r:id="rId398"/>
    <hyperlink ref="A395" r:id="rId399"/>
    <hyperlink ref="A396" r:id="rId400"/>
    <hyperlink ref="A397" r:id="rId401"/>
    <hyperlink ref="A398" r:id="rId402"/>
    <hyperlink ref="A399" r:id="rId403"/>
    <hyperlink ref="A400" r:id="rId404"/>
    <hyperlink ref="A401" r:id="rId405"/>
    <hyperlink ref="A402" r:id="rId406"/>
    <hyperlink ref="A403" r:id="rId407"/>
    <hyperlink ref="A404" r:id="rId408"/>
    <hyperlink ref="A405" r:id="rId409"/>
    <hyperlink ref="A406" r:id="rId410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9"/>
  <sheetViews>
    <sheetView workbookViewId="0">
      <selection activeCell="B1" sqref="B1:B7"/>
    </sheetView>
  </sheetViews>
  <sheetFormatPr baseColWidth="10" defaultRowHeight="16" x14ac:dyDescent="0.2"/>
  <sheetData>
    <row r="1" spans="1:2" x14ac:dyDescent="0.2">
      <c r="A1" t="s">
        <v>11</v>
      </c>
      <c r="B1">
        <v>3670</v>
      </c>
    </row>
    <row r="2" spans="1:2" x14ac:dyDescent="0.2">
      <c r="A2" t="s">
        <v>370</v>
      </c>
      <c r="B2">
        <v>575</v>
      </c>
    </row>
    <row r="3" spans="1:2" x14ac:dyDescent="0.2">
      <c r="A3" t="s">
        <v>231</v>
      </c>
      <c r="B3">
        <v>6080</v>
      </c>
    </row>
    <row r="4" spans="1:2" x14ac:dyDescent="0.2">
      <c r="A4" t="s">
        <v>436</v>
      </c>
      <c r="B4" s="56">
        <v>0</v>
      </c>
    </row>
    <row r="5" spans="1:2" x14ac:dyDescent="0.2">
      <c r="A5" t="s">
        <v>35</v>
      </c>
      <c r="B5">
        <v>708</v>
      </c>
    </row>
    <row r="6" spans="1:2" x14ac:dyDescent="0.2">
      <c r="A6" t="s">
        <v>27</v>
      </c>
      <c r="B6">
        <v>871.3</v>
      </c>
    </row>
    <row r="7" spans="1:2" x14ac:dyDescent="0.2">
      <c r="A7" t="s">
        <v>409</v>
      </c>
      <c r="B7" s="57">
        <v>136.6</v>
      </c>
    </row>
    <row r="8" spans="1:2" x14ac:dyDescent="0.2">
      <c r="A8" t="s">
        <v>370</v>
      </c>
      <c r="B8">
        <v>575</v>
      </c>
    </row>
    <row r="9" spans="1:2" x14ac:dyDescent="0.2">
      <c r="A9" t="s">
        <v>27</v>
      </c>
      <c r="B9">
        <v>871.3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X135"/>
  <sheetViews>
    <sheetView tabSelected="1" workbookViewId="0">
      <selection activeCell="X8" sqref="X8"/>
    </sheetView>
  </sheetViews>
  <sheetFormatPr baseColWidth="10" defaultRowHeight="16" x14ac:dyDescent="0.2"/>
  <cols>
    <col min="1" max="1" width="18.5" bestFit="1" customWidth="1"/>
    <col min="2" max="2" width="8.1640625" bestFit="1" customWidth="1"/>
    <col min="3" max="3" width="10.6640625" bestFit="1" customWidth="1"/>
    <col min="4" max="4" width="7.1640625" bestFit="1" customWidth="1"/>
    <col min="5" max="5" width="15.33203125" bestFit="1" customWidth="1"/>
    <col min="6" max="6" width="12.1640625" bestFit="1" customWidth="1"/>
    <col min="7" max="7" width="7.83203125" bestFit="1" customWidth="1"/>
    <col min="8" max="8" width="7.1640625" bestFit="1" customWidth="1"/>
    <col min="9" max="9" width="12.1640625" bestFit="1" customWidth="1"/>
    <col min="10" max="10" width="12.6640625" bestFit="1" customWidth="1"/>
    <col min="11" max="11" width="8.6640625" bestFit="1" customWidth="1"/>
    <col min="12" max="12" width="15.83203125" bestFit="1" customWidth="1"/>
    <col min="13" max="14" width="12.6640625" bestFit="1" customWidth="1"/>
  </cols>
  <sheetData>
    <row r="1" spans="1:24" x14ac:dyDescent="0.2">
      <c r="A1" s="58"/>
      <c r="B1" t="s">
        <v>437</v>
      </c>
      <c r="C1" s="58" t="s">
        <v>438</v>
      </c>
      <c r="D1" s="58" t="s">
        <v>439</v>
      </c>
      <c r="E1" s="58" t="s">
        <v>440</v>
      </c>
      <c r="F1" s="58" t="s">
        <v>441</v>
      </c>
      <c r="G1" s="58" t="s">
        <v>442</v>
      </c>
      <c r="H1">
        <v>16680</v>
      </c>
      <c r="I1" s="58" t="s">
        <v>443</v>
      </c>
      <c r="J1" s="58" t="s">
        <v>444</v>
      </c>
      <c r="K1" s="59" t="s">
        <v>445</v>
      </c>
      <c r="L1" s="58" t="s">
        <v>446</v>
      </c>
      <c r="M1" s="58" t="s">
        <v>447</v>
      </c>
      <c r="N1" s="58" t="s">
        <v>448</v>
      </c>
      <c r="S1" t="s">
        <v>456</v>
      </c>
      <c r="T1" t="s">
        <v>457</v>
      </c>
      <c r="U1" t="s">
        <v>460</v>
      </c>
      <c r="V1" t="s">
        <v>458</v>
      </c>
      <c r="W1" t="s">
        <v>459</v>
      </c>
      <c r="X1" t="s">
        <v>461</v>
      </c>
    </row>
    <row r="2" spans="1:24" x14ac:dyDescent="0.2">
      <c r="B2">
        <v>5106323</v>
      </c>
      <c r="C2" s="60">
        <v>41534</v>
      </c>
      <c r="D2">
        <v>130.69999999999999</v>
      </c>
      <c r="E2">
        <v>437806</v>
      </c>
      <c r="F2">
        <f>+((E2*D2)*1.0015)/100</f>
        <v>573070.76066299994</v>
      </c>
      <c r="H2">
        <v>131.88</v>
      </c>
      <c r="I2">
        <f t="shared" ref="I2:I65" si="0">+(H2*E2)/100</f>
        <v>577378.55280000006</v>
      </c>
      <c r="J2">
        <f t="shared" ref="J2:J65" si="1">+I2-F2-L2</f>
        <v>3441.7243078001275</v>
      </c>
      <c r="K2" s="61">
        <f t="shared" ref="K2:K65" si="2">+(H2/D2-1)</f>
        <v>9.0283091048202202E-3</v>
      </c>
      <c r="L2">
        <f>+I2*0.0015</f>
        <v>866.06782920000012</v>
      </c>
      <c r="M2">
        <f t="shared" ref="M2:M65" si="3">+J2*0.25</f>
        <v>860.43107695003187</v>
      </c>
      <c r="N2">
        <f t="shared" ref="N2:N65" si="4">+J2-M2</f>
        <v>2581.2932308500958</v>
      </c>
    </row>
    <row r="3" spans="1:24" x14ac:dyDescent="0.2">
      <c r="B3">
        <v>5117700</v>
      </c>
      <c r="C3" s="60">
        <v>41535</v>
      </c>
      <c r="D3">
        <v>101.11</v>
      </c>
      <c r="E3">
        <v>276478</v>
      </c>
      <c r="F3">
        <f>+((E3*D3)*1.0015)/100</f>
        <v>279966.22615870001</v>
      </c>
      <c r="H3">
        <v>101.93</v>
      </c>
      <c r="I3">
        <f t="shared" si="0"/>
        <v>281814.02540000004</v>
      </c>
      <c r="J3">
        <f t="shared" si="1"/>
        <v>1425.078203200032</v>
      </c>
      <c r="K3" s="61">
        <f t="shared" si="2"/>
        <v>8.1099792305410201E-3</v>
      </c>
      <c r="L3">
        <f>+I3*0.0015</f>
        <v>422.72103810000004</v>
      </c>
      <c r="M3">
        <f t="shared" si="3"/>
        <v>356.26955080000801</v>
      </c>
      <c r="N3">
        <f t="shared" si="4"/>
        <v>1068.8086524000241</v>
      </c>
    </row>
    <row r="4" spans="1:24" x14ac:dyDescent="0.2">
      <c r="A4" t="s">
        <v>370</v>
      </c>
      <c r="B4">
        <v>1121730</v>
      </c>
      <c r="C4" s="60">
        <v>42067</v>
      </c>
      <c r="D4">
        <v>1239</v>
      </c>
      <c r="E4">
        <v>340</v>
      </c>
      <c r="F4">
        <f t="shared" ref="F4:F67" si="5">+((E4*D4)*1.001)/100</f>
        <v>4216.8125999999993</v>
      </c>
      <c r="H4">
        <v>575</v>
      </c>
      <c r="I4">
        <f t="shared" si="0"/>
        <v>1955</v>
      </c>
      <c r="J4" s="62">
        <f t="shared" si="1"/>
        <v>-2263.7675999999992</v>
      </c>
      <c r="K4" s="61">
        <f t="shared" si="2"/>
        <v>-0.5359160613397902</v>
      </c>
      <c r="L4">
        <f>+I4*0.001</f>
        <v>1.9550000000000001</v>
      </c>
      <c r="M4" s="62">
        <f t="shared" si="3"/>
        <v>-565.94189999999981</v>
      </c>
      <c r="N4" s="62">
        <f t="shared" si="4"/>
        <v>-1697.8256999999994</v>
      </c>
    </row>
    <row r="5" spans="1:24" x14ac:dyDescent="0.2">
      <c r="A5" t="s">
        <v>370</v>
      </c>
      <c r="B5">
        <v>1121730</v>
      </c>
      <c r="C5" s="60">
        <v>42072</v>
      </c>
      <c r="D5">
        <v>1235</v>
      </c>
      <c r="E5">
        <v>170</v>
      </c>
      <c r="F5">
        <f t="shared" si="5"/>
        <v>2101.5994999999998</v>
      </c>
      <c r="H5">
        <v>575</v>
      </c>
      <c r="I5">
        <f t="shared" si="0"/>
        <v>977.5</v>
      </c>
      <c r="J5" s="62">
        <f t="shared" si="1"/>
        <v>-1125.0769999999998</v>
      </c>
      <c r="K5" s="61">
        <f t="shared" si="2"/>
        <v>-0.53441295546558698</v>
      </c>
      <c r="L5">
        <f>+I5*0.001</f>
        <v>0.97750000000000004</v>
      </c>
      <c r="M5" s="62">
        <f t="shared" si="3"/>
        <v>-281.26924999999994</v>
      </c>
      <c r="N5" s="62">
        <f t="shared" si="4"/>
        <v>-843.80774999999983</v>
      </c>
    </row>
    <row r="6" spans="1:24" x14ac:dyDescent="0.2">
      <c r="A6" t="s">
        <v>324</v>
      </c>
      <c r="B6">
        <v>1101666</v>
      </c>
      <c r="C6" s="60">
        <v>42067</v>
      </c>
      <c r="D6">
        <v>210.6</v>
      </c>
      <c r="E6">
        <v>1000</v>
      </c>
      <c r="F6">
        <f t="shared" si="5"/>
        <v>2108.1059999999998</v>
      </c>
      <c r="H6">
        <v>219.7</v>
      </c>
      <c r="I6">
        <f t="shared" si="0"/>
        <v>2197</v>
      </c>
      <c r="J6" s="63">
        <f t="shared" si="1"/>
        <v>85.598500000000229</v>
      </c>
      <c r="K6" s="61">
        <f t="shared" si="2"/>
        <v>4.3209876543209846E-2</v>
      </c>
      <c r="L6">
        <f>+I6*0.0015</f>
        <v>3.2955000000000001</v>
      </c>
      <c r="M6" s="62">
        <f t="shared" si="3"/>
        <v>21.399625000000057</v>
      </c>
      <c r="N6" s="62">
        <f t="shared" si="4"/>
        <v>64.198875000000172</v>
      </c>
    </row>
    <row r="7" spans="1:24" x14ac:dyDescent="0.2">
      <c r="A7" t="s">
        <v>322</v>
      </c>
      <c r="B7">
        <v>1101518</v>
      </c>
      <c r="C7" s="60">
        <v>42072</v>
      </c>
      <c r="D7">
        <v>867</v>
      </c>
      <c r="E7">
        <v>4593</v>
      </c>
      <c r="F7">
        <f t="shared" si="5"/>
        <v>39861.131309999997</v>
      </c>
      <c r="H7">
        <v>403.1</v>
      </c>
      <c r="I7">
        <f t="shared" si="0"/>
        <v>18514.383000000002</v>
      </c>
      <c r="J7">
        <f t="shared" si="1"/>
        <v>-21365.262692999997</v>
      </c>
      <c r="K7" s="61">
        <f t="shared" si="2"/>
        <v>-0.53506343713956173</v>
      </c>
      <c r="L7">
        <f t="shared" ref="L7:L70" si="6">+I7*0.001</f>
        <v>18.514383000000002</v>
      </c>
      <c r="M7">
        <f t="shared" si="3"/>
        <v>-5341.3156732499992</v>
      </c>
      <c r="N7">
        <f t="shared" si="4"/>
        <v>-16023.947019749998</v>
      </c>
    </row>
    <row r="8" spans="1:24" x14ac:dyDescent="0.2">
      <c r="A8" t="s">
        <v>322</v>
      </c>
      <c r="B8">
        <v>1101518</v>
      </c>
      <c r="C8" s="60">
        <v>42078</v>
      </c>
      <c r="D8">
        <v>799</v>
      </c>
      <c r="E8">
        <v>1877</v>
      </c>
      <c r="F8">
        <f t="shared" si="5"/>
        <v>15012.227229999997</v>
      </c>
      <c r="H8">
        <v>403.1</v>
      </c>
      <c r="I8">
        <f t="shared" si="0"/>
        <v>7566.1870000000008</v>
      </c>
      <c r="J8">
        <f t="shared" si="1"/>
        <v>-7453.6064169999963</v>
      </c>
      <c r="K8" s="61">
        <f t="shared" si="2"/>
        <v>-0.49549436795994994</v>
      </c>
      <c r="L8">
        <f t="shared" si="6"/>
        <v>7.5661870000000011</v>
      </c>
      <c r="M8">
        <f t="shared" si="3"/>
        <v>-1863.4016042499991</v>
      </c>
      <c r="N8">
        <f t="shared" si="4"/>
        <v>-5590.2048127499975</v>
      </c>
    </row>
    <row r="9" spans="1:24" x14ac:dyDescent="0.2">
      <c r="A9" t="s">
        <v>322</v>
      </c>
      <c r="B9">
        <v>1101518</v>
      </c>
      <c r="C9" s="60">
        <v>42088</v>
      </c>
      <c r="D9">
        <v>890</v>
      </c>
      <c r="E9">
        <v>1663</v>
      </c>
      <c r="F9">
        <f t="shared" si="5"/>
        <v>14815.500699999999</v>
      </c>
      <c r="H9">
        <v>403.1</v>
      </c>
      <c r="I9">
        <f t="shared" si="0"/>
        <v>6703.5530000000008</v>
      </c>
      <c r="J9">
        <f t="shared" si="1"/>
        <v>-8118.6512529999982</v>
      </c>
      <c r="K9" s="61">
        <f t="shared" si="2"/>
        <v>-0.54707865168539316</v>
      </c>
      <c r="L9">
        <f t="shared" si="6"/>
        <v>6.7035530000000012</v>
      </c>
      <c r="M9">
        <f t="shared" si="3"/>
        <v>-2029.6628132499995</v>
      </c>
      <c r="N9">
        <f t="shared" si="4"/>
        <v>-6088.9884397499991</v>
      </c>
    </row>
    <row r="10" spans="1:24" x14ac:dyDescent="0.2">
      <c r="A10" t="s">
        <v>449</v>
      </c>
      <c r="B10">
        <v>1127695</v>
      </c>
      <c r="C10" s="60">
        <v>42092</v>
      </c>
      <c r="D10">
        <v>10.3</v>
      </c>
      <c r="E10">
        <v>30245</v>
      </c>
      <c r="F10">
        <f t="shared" si="5"/>
        <v>3118.3502349999994</v>
      </c>
      <c r="H10" s="56">
        <v>0</v>
      </c>
      <c r="I10">
        <f t="shared" si="0"/>
        <v>0</v>
      </c>
      <c r="J10" s="62">
        <f t="shared" si="1"/>
        <v>-3118.3502349999994</v>
      </c>
      <c r="K10" s="61">
        <f t="shared" si="2"/>
        <v>-1</v>
      </c>
      <c r="L10">
        <f t="shared" si="6"/>
        <v>0</v>
      </c>
      <c r="M10" s="62">
        <f t="shared" si="3"/>
        <v>-779.58755874999986</v>
      </c>
      <c r="N10" s="62">
        <f t="shared" si="4"/>
        <v>-2338.7626762499995</v>
      </c>
    </row>
    <row r="11" spans="1:24" x14ac:dyDescent="0.2">
      <c r="A11" t="s">
        <v>221</v>
      </c>
      <c r="B11">
        <v>1081165</v>
      </c>
      <c r="C11" s="60">
        <v>42106</v>
      </c>
      <c r="D11">
        <v>489</v>
      </c>
      <c r="E11">
        <v>3067</v>
      </c>
      <c r="F11">
        <f t="shared" si="5"/>
        <v>15012.627629999997</v>
      </c>
      <c r="H11">
        <v>252.1</v>
      </c>
      <c r="I11">
        <f t="shared" si="0"/>
        <v>7731.9069999999992</v>
      </c>
      <c r="J11" s="62">
        <f t="shared" si="1"/>
        <v>-7288.4525369999983</v>
      </c>
      <c r="K11" s="61">
        <f t="shared" si="2"/>
        <v>-0.48445807770961147</v>
      </c>
      <c r="L11">
        <f t="shared" si="6"/>
        <v>7.7319069999999996</v>
      </c>
      <c r="M11" s="62">
        <f t="shared" si="3"/>
        <v>-1822.1131342499996</v>
      </c>
      <c r="N11" s="62">
        <f t="shared" si="4"/>
        <v>-5466.339402749999</v>
      </c>
    </row>
    <row r="12" spans="1:24" x14ac:dyDescent="0.2">
      <c r="A12" t="s">
        <v>337</v>
      </c>
      <c r="B12">
        <v>1104280</v>
      </c>
      <c r="C12" s="60">
        <v>42110</v>
      </c>
      <c r="D12">
        <v>593</v>
      </c>
      <c r="E12">
        <v>619</v>
      </c>
      <c r="F12">
        <f t="shared" si="5"/>
        <v>3674.3406699999996</v>
      </c>
      <c r="H12" s="57">
        <v>300.8</v>
      </c>
      <c r="I12">
        <f t="shared" si="0"/>
        <v>1861.9520000000002</v>
      </c>
      <c r="J12" s="62">
        <f t="shared" si="1"/>
        <v>-1814.2506219999993</v>
      </c>
      <c r="K12" s="61">
        <f t="shared" si="2"/>
        <v>-0.49274873524451934</v>
      </c>
      <c r="L12">
        <f t="shared" si="6"/>
        <v>1.8619520000000003</v>
      </c>
      <c r="M12" s="62">
        <f t="shared" si="3"/>
        <v>-453.56265549999983</v>
      </c>
      <c r="N12" s="62">
        <f t="shared" si="4"/>
        <v>-1360.6879664999994</v>
      </c>
    </row>
    <row r="13" spans="1:24" x14ac:dyDescent="0.2">
      <c r="A13" t="s">
        <v>337</v>
      </c>
      <c r="B13">
        <v>1104280</v>
      </c>
      <c r="C13" s="60">
        <v>42110</v>
      </c>
      <c r="D13">
        <v>592</v>
      </c>
      <c r="E13">
        <v>1908</v>
      </c>
      <c r="F13">
        <f t="shared" si="5"/>
        <v>11306.655359999999</v>
      </c>
      <c r="H13" s="57">
        <v>300.8</v>
      </c>
      <c r="I13">
        <f t="shared" si="0"/>
        <v>5739.2640000000001</v>
      </c>
      <c r="J13" s="62">
        <f t="shared" si="1"/>
        <v>-5573.1306239999985</v>
      </c>
      <c r="K13" s="61">
        <f t="shared" si="2"/>
        <v>-0.49189189189189186</v>
      </c>
      <c r="L13">
        <f t="shared" si="6"/>
        <v>5.7392640000000004</v>
      </c>
      <c r="M13" s="62">
        <f t="shared" si="3"/>
        <v>-1393.2826559999996</v>
      </c>
      <c r="N13" s="62">
        <f t="shared" si="4"/>
        <v>-4179.8479679999991</v>
      </c>
    </row>
    <row r="14" spans="1:24" x14ac:dyDescent="0.2">
      <c r="A14" t="s">
        <v>337</v>
      </c>
      <c r="B14">
        <v>1104280</v>
      </c>
      <c r="C14" s="60">
        <v>42123</v>
      </c>
      <c r="D14">
        <v>499</v>
      </c>
      <c r="E14">
        <v>3006</v>
      </c>
      <c r="F14">
        <f t="shared" si="5"/>
        <v>15014.93994</v>
      </c>
      <c r="H14" s="57">
        <v>300.8</v>
      </c>
      <c r="I14">
        <f t="shared" si="0"/>
        <v>9042.0480000000007</v>
      </c>
      <c r="J14" s="62">
        <f t="shared" si="1"/>
        <v>-5981.9339879999998</v>
      </c>
      <c r="K14" s="61">
        <f t="shared" si="2"/>
        <v>-0.39719438877755509</v>
      </c>
      <c r="L14">
        <f t="shared" si="6"/>
        <v>9.0420480000000012</v>
      </c>
      <c r="M14" s="62">
        <f t="shared" si="3"/>
        <v>-1495.4834969999999</v>
      </c>
      <c r="N14" s="62">
        <f t="shared" si="4"/>
        <v>-4486.4504909999996</v>
      </c>
    </row>
    <row r="15" spans="1:24" x14ac:dyDescent="0.2">
      <c r="A15" t="s">
        <v>87</v>
      </c>
      <c r="B15">
        <v>389015</v>
      </c>
      <c r="C15" s="60">
        <v>42129</v>
      </c>
      <c r="D15">
        <v>2400</v>
      </c>
      <c r="E15">
        <v>204</v>
      </c>
      <c r="F15">
        <f t="shared" si="5"/>
        <v>4900.8959999999988</v>
      </c>
      <c r="H15">
        <v>1560</v>
      </c>
      <c r="I15">
        <f t="shared" si="0"/>
        <v>3182.4</v>
      </c>
      <c r="J15" s="62">
        <f t="shared" si="1"/>
        <v>-1721.6783999999986</v>
      </c>
      <c r="K15" s="61">
        <f t="shared" si="2"/>
        <v>-0.35</v>
      </c>
      <c r="L15">
        <f t="shared" si="6"/>
        <v>3.1824000000000003</v>
      </c>
      <c r="M15" s="62">
        <f t="shared" si="3"/>
        <v>-430.41959999999966</v>
      </c>
      <c r="N15" s="62">
        <f t="shared" si="4"/>
        <v>-1291.2587999999989</v>
      </c>
    </row>
    <row r="16" spans="1:24" x14ac:dyDescent="0.2">
      <c r="A16" t="s">
        <v>87</v>
      </c>
      <c r="B16">
        <v>389015</v>
      </c>
      <c r="C16" s="60">
        <v>42129</v>
      </c>
      <c r="D16">
        <v>2000</v>
      </c>
      <c r="E16">
        <v>250</v>
      </c>
      <c r="F16">
        <f t="shared" si="5"/>
        <v>5004.9999999999991</v>
      </c>
      <c r="H16">
        <v>1560</v>
      </c>
      <c r="I16">
        <f t="shared" si="0"/>
        <v>3900</v>
      </c>
      <c r="J16" s="62">
        <f t="shared" si="1"/>
        <v>-1108.8999999999992</v>
      </c>
      <c r="K16" s="61">
        <f t="shared" si="2"/>
        <v>-0.21999999999999997</v>
      </c>
      <c r="L16">
        <f t="shared" si="6"/>
        <v>3.9</v>
      </c>
      <c r="M16" s="62">
        <f t="shared" si="3"/>
        <v>-277.2249999999998</v>
      </c>
      <c r="N16" s="62">
        <f t="shared" si="4"/>
        <v>-831.67499999999939</v>
      </c>
    </row>
    <row r="17" spans="1:14" x14ac:dyDescent="0.2">
      <c r="A17" t="s">
        <v>231</v>
      </c>
      <c r="B17">
        <v>1082379</v>
      </c>
      <c r="C17" s="60">
        <v>42136</v>
      </c>
      <c r="D17">
        <v>6296</v>
      </c>
      <c r="E17">
        <v>237</v>
      </c>
      <c r="F17">
        <f t="shared" si="5"/>
        <v>14936.441519999998</v>
      </c>
      <c r="H17">
        <v>6080</v>
      </c>
      <c r="I17">
        <f t="shared" si="0"/>
        <v>14409.6</v>
      </c>
      <c r="J17" s="62">
        <f t="shared" si="1"/>
        <v>-541.25111999999808</v>
      </c>
      <c r="K17" s="61">
        <f t="shared" si="2"/>
        <v>-3.4307496823379968E-2</v>
      </c>
      <c r="L17">
        <f t="shared" si="6"/>
        <v>14.409600000000001</v>
      </c>
      <c r="M17" s="62">
        <f t="shared" si="3"/>
        <v>-135.31277999999952</v>
      </c>
      <c r="N17" s="62">
        <f t="shared" si="4"/>
        <v>-405.93833999999856</v>
      </c>
    </row>
    <row r="18" spans="1:14" x14ac:dyDescent="0.2">
      <c r="A18" t="s">
        <v>231</v>
      </c>
      <c r="B18">
        <v>1082379</v>
      </c>
      <c r="C18" s="60">
        <v>42137</v>
      </c>
      <c r="D18">
        <v>6480</v>
      </c>
      <c r="E18">
        <v>230</v>
      </c>
      <c r="F18">
        <f t="shared" si="5"/>
        <v>14918.903999999999</v>
      </c>
      <c r="H18">
        <v>6080</v>
      </c>
      <c r="I18">
        <f t="shared" si="0"/>
        <v>13984</v>
      </c>
      <c r="J18" s="62">
        <f t="shared" si="1"/>
        <v>-948.88799999999867</v>
      </c>
      <c r="K18" s="61">
        <f t="shared" si="2"/>
        <v>-6.1728395061728447E-2</v>
      </c>
      <c r="L18">
        <f t="shared" si="6"/>
        <v>13.984</v>
      </c>
      <c r="M18" s="62">
        <f t="shared" si="3"/>
        <v>-237.22199999999967</v>
      </c>
      <c r="N18" s="62">
        <f t="shared" si="4"/>
        <v>-711.66599999999903</v>
      </c>
    </row>
    <row r="19" spans="1:14" x14ac:dyDescent="0.2">
      <c r="A19" t="s">
        <v>370</v>
      </c>
      <c r="B19">
        <v>1121730</v>
      </c>
      <c r="C19" s="60">
        <v>42142</v>
      </c>
      <c r="D19">
        <v>1105</v>
      </c>
      <c r="E19">
        <v>900</v>
      </c>
      <c r="F19">
        <f t="shared" si="5"/>
        <v>9954.9449999999997</v>
      </c>
      <c r="H19">
        <v>575</v>
      </c>
      <c r="I19">
        <f t="shared" si="0"/>
        <v>5175</v>
      </c>
      <c r="J19">
        <f t="shared" si="1"/>
        <v>-4785.12</v>
      </c>
      <c r="K19" s="61">
        <f t="shared" si="2"/>
        <v>-0.47963800904977372</v>
      </c>
      <c r="L19">
        <f t="shared" si="6"/>
        <v>5.1749999999999998</v>
      </c>
      <c r="M19">
        <f t="shared" si="3"/>
        <v>-1196.28</v>
      </c>
      <c r="N19">
        <f t="shared" si="4"/>
        <v>-3588.84</v>
      </c>
    </row>
    <row r="20" spans="1:14" x14ac:dyDescent="0.2">
      <c r="A20" t="s">
        <v>370</v>
      </c>
      <c r="B20">
        <v>1121730</v>
      </c>
      <c r="C20" s="60">
        <v>42143</v>
      </c>
      <c r="D20">
        <v>1059</v>
      </c>
      <c r="E20">
        <v>946</v>
      </c>
      <c r="F20">
        <f t="shared" si="5"/>
        <v>10028.15814</v>
      </c>
      <c r="H20">
        <v>575</v>
      </c>
      <c r="I20">
        <f t="shared" si="0"/>
        <v>5439.5</v>
      </c>
      <c r="J20">
        <f t="shared" si="1"/>
        <v>-4594.09764</v>
      </c>
      <c r="K20" s="61">
        <f t="shared" si="2"/>
        <v>-0.45703493862134092</v>
      </c>
      <c r="L20">
        <f t="shared" si="6"/>
        <v>5.4394999999999998</v>
      </c>
      <c r="M20">
        <f t="shared" si="3"/>
        <v>-1148.52441</v>
      </c>
      <c r="N20">
        <f t="shared" si="4"/>
        <v>-3445.57323</v>
      </c>
    </row>
    <row r="21" spans="1:14" x14ac:dyDescent="0.2">
      <c r="A21" t="s">
        <v>370</v>
      </c>
      <c r="B21">
        <v>1121730</v>
      </c>
      <c r="C21" s="60">
        <v>42143</v>
      </c>
      <c r="D21">
        <v>1065</v>
      </c>
      <c r="E21">
        <v>933</v>
      </c>
      <c r="F21">
        <f t="shared" si="5"/>
        <v>9946.3864499999981</v>
      </c>
      <c r="H21">
        <v>575</v>
      </c>
      <c r="I21">
        <f t="shared" si="0"/>
        <v>5364.75</v>
      </c>
      <c r="J21">
        <f t="shared" si="1"/>
        <v>-4587.0011999999979</v>
      </c>
      <c r="K21" s="61">
        <f t="shared" si="2"/>
        <v>-0.460093896713615</v>
      </c>
      <c r="L21">
        <f t="shared" si="6"/>
        <v>5.3647499999999999</v>
      </c>
      <c r="M21">
        <f t="shared" si="3"/>
        <v>-1146.7502999999995</v>
      </c>
      <c r="N21">
        <f t="shared" si="4"/>
        <v>-3440.2508999999982</v>
      </c>
    </row>
    <row r="22" spans="1:14" x14ac:dyDescent="0.2">
      <c r="A22" t="s">
        <v>366</v>
      </c>
      <c r="B22">
        <v>1120609</v>
      </c>
      <c r="C22" s="60">
        <v>42144</v>
      </c>
      <c r="D22">
        <v>856.49</v>
      </c>
      <c r="E22">
        <v>1165</v>
      </c>
      <c r="F22">
        <f t="shared" si="5"/>
        <v>9988.086608499998</v>
      </c>
      <c r="H22">
        <v>194.4</v>
      </c>
      <c r="I22">
        <f t="shared" si="0"/>
        <v>2264.7600000000002</v>
      </c>
      <c r="J22">
        <f t="shared" si="1"/>
        <v>-7725.5913684999978</v>
      </c>
      <c r="K22" s="61">
        <f t="shared" si="2"/>
        <v>-0.77302712232483739</v>
      </c>
      <c r="L22">
        <f t="shared" si="6"/>
        <v>2.2647600000000003</v>
      </c>
      <c r="M22">
        <f t="shared" si="3"/>
        <v>-1931.3978421249994</v>
      </c>
      <c r="N22">
        <f t="shared" si="4"/>
        <v>-5794.1935263749983</v>
      </c>
    </row>
    <row r="23" spans="1:14" x14ac:dyDescent="0.2">
      <c r="A23" t="s">
        <v>366</v>
      </c>
      <c r="B23">
        <v>1120609</v>
      </c>
      <c r="C23" s="60">
        <v>42145</v>
      </c>
      <c r="D23">
        <v>870</v>
      </c>
      <c r="E23">
        <v>1162</v>
      </c>
      <c r="F23">
        <f t="shared" si="5"/>
        <v>10119.509399999999</v>
      </c>
      <c r="H23">
        <v>194.4</v>
      </c>
      <c r="I23">
        <f t="shared" si="0"/>
        <v>2258.9280000000003</v>
      </c>
      <c r="J23">
        <f t="shared" si="1"/>
        <v>-7862.8403279999993</v>
      </c>
      <c r="K23" s="61">
        <f t="shared" si="2"/>
        <v>-0.77655172413793105</v>
      </c>
      <c r="L23">
        <f t="shared" si="6"/>
        <v>2.2589280000000005</v>
      </c>
      <c r="M23">
        <f t="shared" si="3"/>
        <v>-1965.7100819999998</v>
      </c>
      <c r="N23">
        <f t="shared" si="4"/>
        <v>-5897.1302459999997</v>
      </c>
    </row>
    <row r="24" spans="1:14" x14ac:dyDescent="0.2">
      <c r="A24" t="s">
        <v>231</v>
      </c>
      <c r="B24">
        <v>1082379</v>
      </c>
      <c r="C24" s="60">
        <v>42145</v>
      </c>
      <c r="D24">
        <v>5935</v>
      </c>
      <c r="E24">
        <v>168</v>
      </c>
      <c r="F24">
        <f t="shared" si="5"/>
        <v>9980.7707999999984</v>
      </c>
      <c r="H24">
        <v>6080</v>
      </c>
      <c r="I24">
        <f t="shared" si="0"/>
        <v>10214.4</v>
      </c>
      <c r="J24">
        <f t="shared" si="1"/>
        <v>223.41480000000121</v>
      </c>
      <c r="K24" s="61">
        <f t="shared" si="2"/>
        <v>2.4431339511373107E-2</v>
      </c>
      <c r="L24">
        <f t="shared" si="6"/>
        <v>10.214399999999999</v>
      </c>
      <c r="M24">
        <f t="shared" si="3"/>
        <v>55.853700000000302</v>
      </c>
      <c r="N24">
        <f t="shared" si="4"/>
        <v>167.56110000000092</v>
      </c>
    </row>
    <row r="25" spans="1:14" x14ac:dyDescent="0.2">
      <c r="A25" t="s">
        <v>231</v>
      </c>
      <c r="B25">
        <v>1082379</v>
      </c>
      <c r="C25" s="60">
        <v>42145</v>
      </c>
      <c r="D25">
        <v>5866</v>
      </c>
      <c r="E25">
        <v>170</v>
      </c>
      <c r="F25">
        <f t="shared" si="5"/>
        <v>9982.1721999999991</v>
      </c>
      <c r="H25">
        <v>6080</v>
      </c>
      <c r="I25">
        <f t="shared" si="0"/>
        <v>10336</v>
      </c>
      <c r="J25">
        <f t="shared" si="1"/>
        <v>343.49180000000092</v>
      </c>
      <c r="K25" s="61">
        <f t="shared" si="2"/>
        <v>3.6481418342993566E-2</v>
      </c>
      <c r="L25">
        <f t="shared" si="6"/>
        <v>10.336</v>
      </c>
      <c r="M25">
        <f t="shared" si="3"/>
        <v>85.87295000000023</v>
      </c>
      <c r="N25">
        <f t="shared" si="4"/>
        <v>257.61885000000069</v>
      </c>
    </row>
    <row r="26" spans="1:14" x14ac:dyDescent="0.2">
      <c r="A26" t="s">
        <v>366</v>
      </c>
      <c r="B26">
        <v>1120609</v>
      </c>
      <c r="C26" s="60">
        <v>42145</v>
      </c>
      <c r="D26">
        <v>845</v>
      </c>
      <c r="E26">
        <v>1085</v>
      </c>
      <c r="F26">
        <f t="shared" si="5"/>
        <v>9177.4182499999988</v>
      </c>
      <c r="H26">
        <v>194.4</v>
      </c>
      <c r="I26">
        <f t="shared" si="0"/>
        <v>2109.2399999999998</v>
      </c>
      <c r="J26">
        <f t="shared" si="1"/>
        <v>-7070.2874899999988</v>
      </c>
      <c r="K26" s="61">
        <f t="shared" si="2"/>
        <v>-0.76994082840236688</v>
      </c>
      <c r="L26">
        <f t="shared" si="6"/>
        <v>2.1092399999999998</v>
      </c>
      <c r="M26">
        <f t="shared" si="3"/>
        <v>-1767.5718724999997</v>
      </c>
      <c r="N26">
        <f t="shared" si="4"/>
        <v>-5302.7156174999991</v>
      </c>
    </row>
    <row r="27" spans="1:14" x14ac:dyDescent="0.2">
      <c r="A27" t="s">
        <v>370</v>
      </c>
      <c r="B27">
        <v>1121730</v>
      </c>
      <c r="C27" s="60">
        <v>42149</v>
      </c>
      <c r="D27">
        <v>1110</v>
      </c>
      <c r="E27">
        <v>900</v>
      </c>
      <c r="F27">
        <f t="shared" si="5"/>
        <v>9999.989999999998</v>
      </c>
      <c r="H27">
        <v>575</v>
      </c>
      <c r="I27">
        <f t="shared" si="0"/>
        <v>5175</v>
      </c>
      <c r="J27">
        <f t="shared" si="1"/>
        <v>-4830.1649999999981</v>
      </c>
      <c r="K27" s="61">
        <f t="shared" si="2"/>
        <v>-0.48198198198198194</v>
      </c>
      <c r="L27">
        <f t="shared" si="6"/>
        <v>5.1749999999999998</v>
      </c>
      <c r="M27">
        <f t="shared" si="3"/>
        <v>-1207.5412499999995</v>
      </c>
      <c r="N27">
        <f t="shared" si="4"/>
        <v>-3622.6237499999988</v>
      </c>
    </row>
    <row r="28" spans="1:14" x14ac:dyDescent="0.2">
      <c r="A28" t="s">
        <v>108</v>
      </c>
      <c r="B28">
        <v>456012</v>
      </c>
      <c r="C28" s="60">
        <v>42164</v>
      </c>
      <c r="D28">
        <v>460</v>
      </c>
      <c r="E28">
        <v>3260</v>
      </c>
      <c r="F28">
        <f t="shared" si="5"/>
        <v>15010.995999999999</v>
      </c>
      <c r="H28">
        <v>127.7</v>
      </c>
      <c r="I28">
        <f t="shared" si="0"/>
        <v>4163.0200000000004</v>
      </c>
      <c r="J28" s="62">
        <f t="shared" si="1"/>
        <v>-10852.139019999999</v>
      </c>
      <c r="K28" s="61">
        <f t="shared" si="2"/>
        <v>-0.72239130434782606</v>
      </c>
      <c r="L28">
        <f t="shared" si="6"/>
        <v>4.1630200000000004</v>
      </c>
      <c r="M28" s="62">
        <f t="shared" si="3"/>
        <v>-2713.0347549999997</v>
      </c>
      <c r="N28" s="62">
        <f t="shared" si="4"/>
        <v>-8139.104264999999</v>
      </c>
    </row>
    <row r="29" spans="1:14" x14ac:dyDescent="0.2">
      <c r="A29" t="s">
        <v>337</v>
      </c>
      <c r="B29">
        <v>1104280</v>
      </c>
      <c r="C29" s="60">
        <v>42176</v>
      </c>
      <c r="D29">
        <v>403</v>
      </c>
      <c r="E29">
        <v>3663</v>
      </c>
      <c r="F29">
        <f t="shared" si="5"/>
        <v>14776.651889999997</v>
      </c>
      <c r="H29" s="57">
        <v>300.8</v>
      </c>
      <c r="I29">
        <f t="shared" si="0"/>
        <v>11018.304000000002</v>
      </c>
      <c r="J29" s="62">
        <f t="shared" si="1"/>
        <v>-3769.3661939999956</v>
      </c>
      <c r="K29" s="61">
        <f t="shared" si="2"/>
        <v>-0.25359801488833744</v>
      </c>
      <c r="L29">
        <f t="shared" si="6"/>
        <v>11.018304000000002</v>
      </c>
      <c r="M29" s="62">
        <f t="shared" si="3"/>
        <v>-942.34154849999891</v>
      </c>
      <c r="N29" s="62">
        <f t="shared" si="4"/>
        <v>-2827.024645499997</v>
      </c>
    </row>
    <row r="30" spans="1:14" x14ac:dyDescent="0.2">
      <c r="A30" t="s">
        <v>183</v>
      </c>
      <c r="B30">
        <v>751032</v>
      </c>
      <c r="C30" s="60">
        <v>42177</v>
      </c>
      <c r="D30">
        <v>733.2</v>
      </c>
      <c r="E30">
        <v>780</v>
      </c>
      <c r="F30">
        <f t="shared" si="5"/>
        <v>5724.6789599999993</v>
      </c>
      <c r="H30">
        <v>521.29999999999995</v>
      </c>
      <c r="I30">
        <f t="shared" si="0"/>
        <v>4066.1399999999994</v>
      </c>
      <c r="J30" s="62">
        <f t="shared" si="1"/>
        <v>-1662.6050999999998</v>
      </c>
      <c r="K30" s="61">
        <f t="shared" si="2"/>
        <v>-0.28900709219858167</v>
      </c>
      <c r="L30">
        <f t="shared" si="6"/>
        <v>4.0661399999999999</v>
      </c>
      <c r="M30" s="62">
        <f t="shared" si="3"/>
        <v>-415.65127499999994</v>
      </c>
      <c r="N30" s="62">
        <f t="shared" si="4"/>
        <v>-1246.9538249999998</v>
      </c>
    </row>
    <row r="31" spans="1:14" x14ac:dyDescent="0.2">
      <c r="A31" t="s">
        <v>322</v>
      </c>
      <c r="B31">
        <v>1101518</v>
      </c>
      <c r="C31" s="60">
        <v>42180</v>
      </c>
      <c r="D31">
        <v>848.5</v>
      </c>
      <c r="E31">
        <v>1176</v>
      </c>
      <c r="F31">
        <f t="shared" si="5"/>
        <v>9988.3383599999997</v>
      </c>
      <c r="H31">
        <v>403.1</v>
      </c>
      <c r="I31">
        <f t="shared" si="0"/>
        <v>4740.4560000000001</v>
      </c>
      <c r="J31" s="62">
        <f t="shared" si="1"/>
        <v>-5252.6228160000001</v>
      </c>
      <c r="K31" s="61">
        <f t="shared" si="2"/>
        <v>-0.52492634060106069</v>
      </c>
      <c r="L31">
        <f t="shared" si="6"/>
        <v>4.740456</v>
      </c>
      <c r="M31" s="62">
        <f t="shared" si="3"/>
        <v>-1313.155704</v>
      </c>
      <c r="N31" s="62">
        <f t="shared" si="4"/>
        <v>-3939.4671120000003</v>
      </c>
    </row>
    <row r="32" spans="1:14" x14ac:dyDescent="0.2">
      <c r="A32" t="s">
        <v>231</v>
      </c>
      <c r="B32">
        <v>1082379</v>
      </c>
      <c r="C32" s="60">
        <v>42183</v>
      </c>
      <c r="D32">
        <v>5905</v>
      </c>
      <c r="E32">
        <v>251</v>
      </c>
      <c r="F32">
        <f t="shared" si="5"/>
        <v>14836.371549999998</v>
      </c>
      <c r="H32">
        <v>6080</v>
      </c>
      <c r="I32">
        <f t="shared" si="0"/>
        <v>15260.8</v>
      </c>
      <c r="J32" s="62">
        <f t="shared" si="1"/>
        <v>409.16765000000123</v>
      </c>
      <c r="K32" s="61">
        <f t="shared" si="2"/>
        <v>2.9635901778154006E-2</v>
      </c>
      <c r="L32">
        <f t="shared" si="6"/>
        <v>15.2608</v>
      </c>
      <c r="M32" s="62">
        <f t="shared" si="3"/>
        <v>102.29191250000031</v>
      </c>
      <c r="N32" s="62">
        <f t="shared" si="4"/>
        <v>306.87573750000092</v>
      </c>
    </row>
    <row r="33" spans="1:14" x14ac:dyDescent="0.2">
      <c r="A33" t="s">
        <v>322</v>
      </c>
      <c r="B33">
        <v>1101518</v>
      </c>
      <c r="C33" s="60">
        <v>42187</v>
      </c>
      <c r="D33">
        <v>974.5</v>
      </c>
      <c r="E33">
        <v>1025</v>
      </c>
      <c r="F33">
        <f t="shared" si="5"/>
        <v>9998.613625</v>
      </c>
      <c r="H33">
        <v>403.1</v>
      </c>
      <c r="I33">
        <f t="shared" si="0"/>
        <v>4131.7749999999996</v>
      </c>
      <c r="J33" s="62">
        <f t="shared" si="1"/>
        <v>-5870.9704000000002</v>
      </c>
      <c r="K33" s="61">
        <f t="shared" si="2"/>
        <v>-0.58635197537198569</v>
      </c>
      <c r="L33">
        <f t="shared" si="6"/>
        <v>4.1317749999999993</v>
      </c>
      <c r="M33" s="62">
        <f t="shared" si="3"/>
        <v>-1467.7426</v>
      </c>
      <c r="N33" s="62">
        <f t="shared" si="4"/>
        <v>-4403.2278000000006</v>
      </c>
    </row>
    <row r="34" spans="1:14" x14ac:dyDescent="0.2">
      <c r="A34" t="s">
        <v>366</v>
      </c>
      <c r="B34">
        <v>1120609</v>
      </c>
      <c r="C34" s="60">
        <v>42187</v>
      </c>
      <c r="D34">
        <v>718.09</v>
      </c>
      <c r="E34">
        <v>1388</v>
      </c>
      <c r="F34">
        <f t="shared" si="5"/>
        <v>9977.0562891999998</v>
      </c>
      <c r="H34">
        <v>194.4</v>
      </c>
      <c r="I34">
        <f t="shared" si="0"/>
        <v>2698.2719999999999</v>
      </c>
      <c r="J34" s="62">
        <f t="shared" si="1"/>
        <v>-7281.4825611999995</v>
      </c>
      <c r="K34" s="61">
        <f t="shared" si="2"/>
        <v>-0.72928184489409409</v>
      </c>
      <c r="L34">
        <f t="shared" si="6"/>
        <v>2.6982719999999998</v>
      </c>
      <c r="M34" s="62">
        <f t="shared" si="3"/>
        <v>-1820.3706402999999</v>
      </c>
      <c r="N34" s="62">
        <f t="shared" si="4"/>
        <v>-5461.1119208999999</v>
      </c>
    </row>
    <row r="35" spans="1:14" x14ac:dyDescent="0.2">
      <c r="A35" t="s">
        <v>27</v>
      </c>
      <c r="B35">
        <v>198010</v>
      </c>
      <c r="C35" s="60">
        <v>42190</v>
      </c>
      <c r="D35">
        <v>1379</v>
      </c>
      <c r="E35">
        <v>1087</v>
      </c>
      <c r="F35">
        <f t="shared" si="5"/>
        <v>15004.719729999997</v>
      </c>
      <c r="H35" s="57">
        <v>871.3</v>
      </c>
      <c r="I35">
        <f t="shared" si="0"/>
        <v>9471.030999999999</v>
      </c>
      <c r="J35" s="62">
        <f t="shared" si="1"/>
        <v>-5543.1597609999981</v>
      </c>
      <c r="K35" s="61">
        <f t="shared" si="2"/>
        <v>-0.36816533720087019</v>
      </c>
      <c r="L35">
        <f t="shared" si="6"/>
        <v>9.471031</v>
      </c>
      <c r="M35" s="62">
        <f t="shared" si="3"/>
        <v>-1385.7899402499995</v>
      </c>
      <c r="N35" s="62">
        <f t="shared" si="4"/>
        <v>-4157.3698207499983</v>
      </c>
    </row>
    <row r="36" spans="1:14" x14ac:dyDescent="0.2">
      <c r="A36" t="s">
        <v>370</v>
      </c>
      <c r="B36">
        <v>1121730</v>
      </c>
      <c r="C36" s="60">
        <v>42199</v>
      </c>
      <c r="D36">
        <v>942.5</v>
      </c>
      <c r="E36">
        <v>1588</v>
      </c>
      <c r="F36">
        <f t="shared" si="5"/>
        <v>14981.866899999999</v>
      </c>
      <c r="H36">
        <v>575</v>
      </c>
      <c r="I36">
        <f t="shared" si="0"/>
        <v>9131</v>
      </c>
      <c r="J36" s="62">
        <f t="shared" si="1"/>
        <v>-5859.9978999999994</v>
      </c>
      <c r="K36" s="61">
        <f t="shared" si="2"/>
        <v>-0.38992042440318297</v>
      </c>
      <c r="L36">
        <f t="shared" si="6"/>
        <v>9.1310000000000002</v>
      </c>
      <c r="M36" s="62">
        <f t="shared" si="3"/>
        <v>-1464.9994749999998</v>
      </c>
      <c r="N36" s="62">
        <f t="shared" si="4"/>
        <v>-4394.9984249999998</v>
      </c>
    </row>
    <row r="37" spans="1:14" x14ac:dyDescent="0.2">
      <c r="A37" t="s">
        <v>221</v>
      </c>
      <c r="B37">
        <v>1081165</v>
      </c>
      <c r="C37" s="60">
        <v>42204</v>
      </c>
      <c r="D37">
        <v>462.29</v>
      </c>
      <c r="E37">
        <v>3241</v>
      </c>
      <c r="F37">
        <f t="shared" si="5"/>
        <v>14997.801718899998</v>
      </c>
      <c r="H37">
        <v>252.1</v>
      </c>
      <c r="I37">
        <f t="shared" si="0"/>
        <v>8170.5609999999997</v>
      </c>
      <c r="J37" s="62">
        <f t="shared" si="1"/>
        <v>-6835.4112798999986</v>
      </c>
      <c r="K37" s="61">
        <f t="shared" si="2"/>
        <v>-0.45467131021653073</v>
      </c>
      <c r="L37">
        <f t="shared" si="6"/>
        <v>8.1705609999999993</v>
      </c>
      <c r="M37" s="62">
        <f t="shared" si="3"/>
        <v>-1708.8528199749996</v>
      </c>
      <c r="N37" s="62">
        <f t="shared" si="4"/>
        <v>-5126.5584599249987</v>
      </c>
    </row>
    <row r="38" spans="1:14" x14ac:dyDescent="0.2">
      <c r="A38" t="s">
        <v>365</v>
      </c>
      <c r="B38">
        <v>1120161</v>
      </c>
      <c r="C38" s="60">
        <v>42207</v>
      </c>
      <c r="D38">
        <v>125.5</v>
      </c>
      <c r="E38">
        <v>7692</v>
      </c>
      <c r="F38">
        <f t="shared" si="5"/>
        <v>9663.1134599999987</v>
      </c>
      <c r="H38">
        <v>103.8</v>
      </c>
      <c r="I38">
        <f t="shared" si="0"/>
        <v>7984.2959999999994</v>
      </c>
      <c r="J38" s="62">
        <f t="shared" si="1"/>
        <v>-1686.8017559999994</v>
      </c>
      <c r="K38" s="61">
        <f t="shared" si="2"/>
        <v>-0.17290836653386454</v>
      </c>
      <c r="L38">
        <f t="shared" si="6"/>
        <v>7.9842959999999996</v>
      </c>
      <c r="M38" s="62">
        <f t="shared" si="3"/>
        <v>-421.70043899999985</v>
      </c>
      <c r="N38" s="62">
        <f t="shared" si="4"/>
        <v>-1265.1013169999997</v>
      </c>
    </row>
    <row r="39" spans="1:14" x14ac:dyDescent="0.2">
      <c r="A39" t="s">
        <v>365</v>
      </c>
      <c r="B39">
        <v>1120161</v>
      </c>
      <c r="C39" s="60">
        <v>42208</v>
      </c>
      <c r="D39">
        <v>130.5</v>
      </c>
      <c r="E39">
        <v>3843</v>
      </c>
      <c r="F39">
        <f t="shared" si="5"/>
        <v>5020.1301149999999</v>
      </c>
      <c r="H39">
        <v>103.8</v>
      </c>
      <c r="I39">
        <f t="shared" si="0"/>
        <v>3989.0339999999997</v>
      </c>
      <c r="J39" s="62">
        <f t="shared" si="1"/>
        <v>-1035.0851490000002</v>
      </c>
      <c r="K39" s="61">
        <f t="shared" si="2"/>
        <v>-0.20459770114942533</v>
      </c>
      <c r="L39">
        <f t="shared" si="6"/>
        <v>3.9890339999999997</v>
      </c>
      <c r="M39" s="62">
        <f t="shared" si="3"/>
        <v>-258.77128725000006</v>
      </c>
      <c r="N39" s="62">
        <f t="shared" si="4"/>
        <v>-776.31386175000011</v>
      </c>
    </row>
    <row r="40" spans="1:14" x14ac:dyDescent="0.2">
      <c r="A40" t="s">
        <v>365</v>
      </c>
      <c r="B40">
        <v>1120161</v>
      </c>
      <c r="C40" s="60">
        <v>42212</v>
      </c>
      <c r="D40">
        <v>132</v>
      </c>
      <c r="E40">
        <v>3759</v>
      </c>
      <c r="F40">
        <f t="shared" si="5"/>
        <v>4966.8418799999999</v>
      </c>
      <c r="H40">
        <v>103.8</v>
      </c>
      <c r="I40">
        <f t="shared" si="0"/>
        <v>3901.8420000000001</v>
      </c>
      <c r="J40" s="62">
        <f t="shared" si="1"/>
        <v>-1068.9017219999998</v>
      </c>
      <c r="K40" s="61">
        <f t="shared" si="2"/>
        <v>-0.21363636363636362</v>
      </c>
      <c r="L40">
        <f t="shared" si="6"/>
        <v>3.9018420000000003</v>
      </c>
      <c r="M40" s="62">
        <f t="shared" si="3"/>
        <v>-267.22543049999996</v>
      </c>
      <c r="N40" s="62">
        <f t="shared" si="4"/>
        <v>-801.67629149999993</v>
      </c>
    </row>
    <row r="41" spans="1:14" x14ac:dyDescent="0.2">
      <c r="A41" t="s">
        <v>322</v>
      </c>
      <c r="B41">
        <v>1101518</v>
      </c>
      <c r="C41" s="60">
        <v>42212</v>
      </c>
      <c r="D41">
        <v>635</v>
      </c>
      <c r="E41">
        <v>768</v>
      </c>
      <c r="F41">
        <f t="shared" si="5"/>
        <v>4881.6767999999993</v>
      </c>
      <c r="H41">
        <v>403.1</v>
      </c>
      <c r="I41">
        <f t="shared" si="0"/>
        <v>3095.8080000000004</v>
      </c>
      <c r="J41" s="62">
        <f t="shared" si="1"/>
        <v>-1788.9646079999989</v>
      </c>
      <c r="K41" s="61">
        <f t="shared" si="2"/>
        <v>-0.36519685039370076</v>
      </c>
      <c r="L41">
        <f t="shared" si="6"/>
        <v>3.0958080000000003</v>
      </c>
      <c r="M41" s="62">
        <f t="shared" si="3"/>
        <v>-447.24115199999972</v>
      </c>
      <c r="N41" s="62">
        <f t="shared" si="4"/>
        <v>-1341.7234559999993</v>
      </c>
    </row>
    <row r="42" spans="1:14" x14ac:dyDescent="0.2">
      <c r="A42" t="s">
        <v>365</v>
      </c>
      <c r="B42">
        <v>1120161</v>
      </c>
      <c r="C42" s="60">
        <v>42213</v>
      </c>
      <c r="D42">
        <v>125.4</v>
      </c>
      <c r="E42">
        <v>3968</v>
      </c>
      <c r="F42">
        <f t="shared" si="5"/>
        <v>4980.8478719999994</v>
      </c>
      <c r="H42">
        <v>103.8</v>
      </c>
      <c r="I42">
        <f t="shared" si="0"/>
        <v>4118.7839999999997</v>
      </c>
      <c r="J42" s="62">
        <f t="shared" si="1"/>
        <v>-866.18265599999972</v>
      </c>
      <c r="K42" s="61">
        <f t="shared" si="2"/>
        <v>-0.17224880382775121</v>
      </c>
      <c r="L42">
        <f t="shared" si="6"/>
        <v>4.1187839999999998</v>
      </c>
      <c r="M42" s="62">
        <f t="shared" si="3"/>
        <v>-216.54566399999993</v>
      </c>
      <c r="N42" s="62">
        <f t="shared" si="4"/>
        <v>-649.63699199999974</v>
      </c>
    </row>
    <row r="43" spans="1:14" x14ac:dyDescent="0.2">
      <c r="A43" t="s">
        <v>365</v>
      </c>
      <c r="B43">
        <v>1120161</v>
      </c>
      <c r="C43" s="60">
        <v>42214</v>
      </c>
      <c r="D43">
        <v>117.5</v>
      </c>
      <c r="E43">
        <v>4255</v>
      </c>
      <c r="F43">
        <f t="shared" si="5"/>
        <v>5004.6246249999995</v>
      </c>
      <c r="H43">
        <v>103.8</v>
      </c>
      <c r="I43">
        <f t="shared" si="0"/>
        <v>4416.6899999999996</v>
      </c>
      <c r="J43" s="62">
        <f t="shared" si="1"/>
        <v>-592.35131499999989</v>
      </c>
      <c r="K43" s="61">
        <f t="shared" si="2"/>
        <v>-0.1165957446808511</v>
      </c>
      <c r="L43">
        <f t="shared" si="6"/>
        <v>4.41669</v>
      </c>
      <c r="M43" s="62">
        <f t="shared" si="3"/>
        <v>-148.08782874999997</v>
      </c>
      <c r="N43" s="62">
        <f t="shared" si="4"/>
        <v>-444.26348624999991</v>
      </c>
    </row>
    <row r="44" spans="1:14" x14ac:dyDescent="0.2">
      <c r="A44" t="s">
        <v>117</v>
      </c>
      <c r="B44">
        <v>496018</v>
      </c>
      <c r="C44" s="60">
        <v>42214</v>
      </c>
      <c r="D44">
        <v>77.39</v>
      </c>
      <c r="E44">
        <v>12658</v>
      </c>
      <c r="F44">
        <f t="shared" si="5"/>
        <v>9805.8222261999981</v>
      </c>
      <c r="H44">
        <v>30.9</v>
      </c>
      <c r="I44">
        <f t="shared" si="0"/>
        <v>3911.3219999999997</v>
      </c>
      <c r="J44" s="62">
        <f t="shared" si="1"/>
        <v>-5898.4115481999979</v>
      </c>
      <c r="K44" s="61">
        <f t="shared" si="2"/>
        <v>-0.60072360770125344</v>
      </c>
      <c r="L44">
        <f t="shared" si="6"/>
        <v>3.9113219999999997</v>
      </c>
      <c r="M44" s="62">
        <f t="shared" si="3"/>
        <v>-1474.6028870499995</v>
      </c>
      <c r="N44" s="62">
        <f t="shared" si="4"/>
        <v>-4423.8086611499984</v>
      </c>
    </row>
    <row r="45" spans="1:14" x14ac:dyDescent="0.2">
      <c r="A45" t="s">
        <v>117</v>
      </c>
      <c r="B45">
        <v>496018</v>
      </c>
      <c r="C45" s="60">
        <v>42215</v>
      </c>
      <c r="D45">
        <v>75.8</v>
      </c>
      <c r="E45">
        <v>6535</v>
      </c>
      <c r="F45">
        <f t="shared" si="5"/>
        <v>4958.4835299999995</v>
      </c>
      <c r="H45">
        <v>30.9</v>
      </c>
      <c r="I45">
        <f t="shared" si="0"/>
        <v>2019.3150000000001</v>
      </c>
      <c r="J45" s="62">
        <f t="shared" si="1"/>
        <v>-2941.1878449999995</v>
      </c>
      <c r="K45" s="61">
        <f t="shared" si="2"/>
        <v>-0.59234828496042224</v>
      </c>
      <c r="L45">
        <f t="shared" si="6"/>
        <v>2.0193150000000002</v>
      </c>
      <c r="M45" s="62">
        <f t="shared" si="3"/>
        <v>-735.29696124999987</v>
      </c>
      <c r="N45" s="62">
        <f t="shared" si="4"/>
        <v>-2205.8908837499994</v>
      </c>
    </row>
    <row r="46" spans="1:14" x14ac:dyDescent="0.2">
      <c r="A46" t="s">
        <v>358</v>
      </c>
      <c r="B46">
        <v>1117795</v>
      </c>
      <c r="C46" s="60">
        <v>42219</v>
      </c>
      <c r="D46">
        <v>2870</v>
      </c>
      <c r="E46">
        <v>174</v>
      </c>
      <c r="F46">
        <f t="shared" si="5"/>
        <v>4998.7937999999995</v>
      </c>
      <c r="H46" s="57">
        <v>1989</v>
      </c>
      <c r="I46">
        <f t="shared" si="0"/>
        <v>3460.86</v>
      </c>
      <c r="J46" s="62">
        <f t="shared" si="1"/>
        <v>-1541.3946599999992</v>
      </c>
      <c r="K46" s="61">
        <f t="shared" si="2"/>
        <v>-0.30696864111498257</v>
      </c>
      <c r="L46">
        <f t="shared" si="6"/>
        <v>3.4608600000000003</v>
      </c>
      <c r="M46" s="62">
        <f t="shared" si="3"/>
        <v>-385.34866499999981</v>
      </c>
      <c r="N46" s="62">
        <f t="shared" si="4"/>
        <v>-1156.0459949999995</v>
      </c>
    </row>
    <row r="47" spans="1:14" x14ac:dyDescent="0.2">
      <c r="A47" t="s">
        <v>322</v>
      </c>
      <c r="B47">
        <v>1101518</v>
      </c>
      <c r="C47" s="60">
        <v>42221</v>
      </c>
      <c r="D47">
        <v>600.5</v>
      </c>
      <c r="E47">
        <v>2418</v>
      </c>
      <c r="F47">
        <f t="shared" si="5"/>
        <v>14534.610089999998</v>
      </c>
      <c r="H47">
        <v>403.1</v>
      </c>
      <c r="I47">
        <f t="shared" si="0"/>
        <v>9746.9580000000005</v>
      </c>
      <c r="J47" s="62">
        <f t="shared" si="1"/>
        <v>-4797.3990479999975</v>
      </c>
      <c r="K47" s="61">
        <f t="shared" si="2"/>
        <v>-0.32872606161532048</v>
      </c>
      <c r="L47">
        <f t="shared" si="6"/>
        <v>9.7469580000000011</v>
      </c>
      <c r="M47" s="62">
        <f t="shared" si="3"/>
        <v>-1199.3497619999994</v>
      </c>
      <c r="N47" s="62">
        <f t="shared" si="4"/>
        <v>-3598.0492859999981</v>
      </c>
    </row>
    <row r="48" spans="1:14" x14ac:dyDescent="0.2">
      <c r="A48" t="s">
        <v>450</v>
      </c>
      <c r="B48">
        <v>7560154</v>
      </c>
      <c r="C48" s="60">
        <v>42227</v>
      </c>
      <c r="D48">
        <v>43.89</v>
      </c>
      <c r="E48">
        <v>34168</v>
      </c>
      <c r="F48">
        <f t="shared" si="5"/>
        <v>15011.331535199999</v>
      </c>
      <c r="H48" s="56">
        <v>0</v>
      </c>
      <c r="I48">
        <f t="shared" si="0"/>
        <v>0</v>
      </c>
      <c r="J48" s="62">
        <f t="shared" si="1"/>
        <v>-15011.331535199999</v>
      </c>
      <c r="K48" s="61">
        <f t="shared" si="2"/>
        <v>-1</v>
      </c>
      <c r="L48">
        <f t="shared" si="6"/>
        <v>0</v>
      </c>
      <c r="M48" s="62">
        <f t="shared" si="3"/>
        <v>-3752.8328837999998</v>
      </c>
      <c r="N48" s="62">
        <f t="shared" si="4"/>
        <v>-11258.498651399999</v>
      </c>
    </row>
    <row r="49" spans="1:14" x14ac:dyDescent="0.2">
      <c r="A49" t="s">
        <v>451</v>
      </c>
      <c r="B49">
        <v>1129790</v>
      </c>
      <c r="C49" s="60">
        <v>42227</v>
      </c>
      <c r="D49">
        <v>8970</v>
      </c>
      <c r="E49">
        <v>110</v>
      </c>
      <c r="F49">
        <f t="shared" si="5"/>
        <v>9876.8669999999984</v>
      </c>
      <c r="H49" s="56">
        <v>0</v>
      </c>
      <c r="I49">
        <f t="shared" si="0"/>
        <v>0</v>
      </c>
      <c r="J49" s="62">
        <f t="shared" si="1"/>
        <v>-9876.8669999999984</v>
      </c>
      <c r="K49" s="61">
        <f t="shared" si="2"/>
        <v>-1</v>
      </c>
      <c r="L49">
        <f t="shared" si="6"/>
        <v>0</v>
      </c>
      <c r="M49" s="62">
        <f t="shared" si="3"/>
        <v>-2469.2167499999996</v>
      </c>
      <c r="N49" s="62">
        <f t="shared" si="4"/>
        <v>-7407.6502499999988</v>
      </c>
    </row>
    <row r="50" spans="1:14" x14ac:dyDescent="0.2">
      <c r="A50" t="s">
        <v>451</v>
      </c>
      <c r="B50">
        <v>1129790</v>
      </c>
      <c r="C50" s="60">
        <v>42228</v>
      </c>
      <c r="D50">
        <v>8320</v>
      </c>
      <c r="E50">
        <v>116</v>
      </c>
      <c r="F50">
        <f t="shared" si="5"/>
        <v>9660.8511999999992</v>
      </c>
      <c r="H50" s="56">
        <v>0</v>
      </c>
      <c r="I50">
        <f t="shared" si="0"/>
        <v>0</v>
      </c>
      <c r="J50" s="62">
        <f t="shared" si="1"/>
        <v>-9660.8511999999992</v>
      </c>
      <c r="K50" s="61">
        <f t="shared" si="2"/>
        <v>-1</v>
      </c>
      <c r="L50">
        <f t="shared" si="6"/>
        <v>0</v>
      </c>
      <c r="M50" s="62">
        <f t="shared" si="3"/>
        <v>-2415.2127999999998</v>
      </c>
      <c r="N50" s="62">
        <f t="shared" si="4"/>
        <v>-7245.6383999999998</v>
      </c>
    </row>
    <row r="51" spans="1:14" x14ac:dyDescent="0.2">
      <c r="A51" t="s">
        <v>117</v>
      </c>
      <c r="B51">
        <v>496018</v>
      </c>
      <c r="C51" s="60">
        <v>42228</v>
      </c>
      <c r="D51">
        <v>67</v>
      </c>
      <c r="E51">
        <v>14970</v>
      </c>
      <c r="F51">
        <f t="shared" si="5"/>
        <v>10039.929899999999</v>
      </c>
      <c r="H51">
        <v>30.9</v>
      </c>
      <c r="I51">
        <f t="shared" si="0"/>
        <v>4625.7299999999996</v>
      </c>
      <c r="J51" s="62">
        <f t="shared" si="1"/>
        <v>-5418.8256299999994</v>
      </c>
      <c r="K51" s="61">
        <f t="shared" si="2"/>
        <v>-0.5388059701492538</v>
      </c>
      <c r="L51">
        <f t="shared" si="6"/>
        <v>4.6257299999999999</v>
      </c>
      <c r="M51" s="62">
        <f t="shared" si="3"/>
        <v>-1354.7064074999998</v>
      </c>
      <c r="N51" s="62">
        <f t="shared" si="4"/>
        <v>-4064.1192224999995</v>
      </c>
    </row>
    <row r="52" spans="1:14" x14ac:dyDescent="0.2">
      <c r="A52" t="s">
        <v>370</v>
      </c>
      <c r="B52">
        <v>1121730</v>
      </c>
      <c r="C52" s="60">
        <v>42228</v>
      </c>
      <c r="D52">
        <v>820.59</v>
      </c>
      <c r="E52">
        <v>1218</v>
      </c>
      <c r="F52">
        <f t="shared" si="5"/>
        <v>10004.780986199998</v>
      </c>
      <c r="H52">
        <v>575</v>
      </c>
      <c r="I52">
        <f t="shared" si="0"/>
        <v>7003.5</v>
      </c>
      <c r="J52" s="62">
        <f t="shared" si="1"/>
        <v>-3008.2844861999974</v>
      </c>
      <c r="K52" s="61">
        <f t="shared" si="2"/>
        <v>-0.29928466103657125</v>
      </c>
      <c r="L52">
        <f t="shared" si="6"/>
        <v>7.0034999999999998</v>
      </c>
      <c r="M52" s="62">
        <f t="shared" si="3"/>
        <v>-752.07112154999936</v>
      </c>
      <c r="N52" s="62">
        <f t="shared" si="4"/>
        <v>-2256.2133646499979</v>
      </c>
    </row>
    <row r="53" spans="1:14" x14ac:dyDescent="0.2">
      <c r="A53" t="s">
        <v>450</v>
      </c>
      <c r="B53">
        <v>7560154</v>
      </c>
      <c r="C53" s="60">
        <v>42228</v>
      </c>
      <c r="D53">
        <v>41.54</v>
      </c>
      <c r="E53">
        <v>36057</v>
      </c>
      <c r="F53">
        <f t="shared" si="5"/>
        <v>14993.0558778</v>
      </c>
      <c r="H53" s="56">
        <v>0</v>
      </c>
      <c r="I53">
        <f t="shared" si="0"/>
        <v>0</v>
      </c>
      <c r="J53" s="62">
        <f t="shared" si="1"/>
        <v>-14993.0558778</v>
      </c>
      <c r="K53" s="61">
        <f t="shared" si="2"/>
        <v>-1</v>
      </c>
      <c r="L53">
        <f t="shared" si="6"/>
        <v>0</v>
      </c>
      <c r="M53" s="62">
        <f t="shared" si="3"/>
        <v>-3748.2639694499999</v>
      </c>
      <c r="N53" s="62">
        <f t="shared" si="4"/>
        <v>-11244.79190835</v>
      </c>
    </row>
    <row r="54" spans="1:14" x14ac:dyDescent="0.2">
      <c r="A54" t="s">
        <v>451</v>
      </c>
      <c r="B54">
        <v>1129790</v>
      </c>
      <c r="C54" s="60">
        <v>42228</v>
      </c>
      <c r="D54">
        <v>8080</v>
      </c>
      <c r="E54">
        <v>122</v>
      </c>
      <c r="F54">
        <f t="shared" si="5"/>
        <v>9867.4575999999997</v>
      </c>
      <c r="H54" s="56">
        <v>0</v>
      </c>
      <c r="I54">
        <f t="shared" si="0"/>
        <v>0</v>
      </c>
      <c r="J54" s="62">
        <f t="shared" si="1"/>
        <v>-9867.4575999999997</v>
      </c>
      <c r="K54" s="61">
        <f t="shared" si="2"/>
        <v>-1</v>
      </c>
      <c r="L54">
        <f t="shared" si="6"/>
        <v>0</v>
      </c>
      <c r="M54" s="62">
        <f t="shared" si="3"/>
        <v>-2466.8643999999999</v>
      </c>
      <c r="N54" s="62">
        <f t="shared" si="4"/>
        <v>-7400.5931999999993</v>
      </c>
    </row>
    <row r="55" spans="1:14" x14ac:dyDescent="0.2">
      <c r="A55" t="s">
        <v>451</v>
      </c>
      <c r="B55">
        <v>1129790</v>
      </c>
      <c r="C55" s="60">
        <v>42234</v>
      </c>
      <c r="D55">
        <v>8000</v>
      </c>
      <c r="E55">
        <v>124</v>
      </c>
      <c r="F55">
        <f t="shared" si="5"/>
        <v>9929.9199999999983</v>
      </c>
      <c r="H55" s="56">
        <v>0</v>
      </c>
      <c r="I55">
        <f t="shared" si="0"/>
        <v>0</v>
      </c>
      <c r="J55" s="62">
        <f t="shared" si="1"/>
        <v>-9929.9199999999983</v>
      </c>
      <c r="K55" s="61">
        <f t="shared" si="2"/>
        <v>-1</v>
      </c>
      <c r="L55">
        <f t="shared" si="6"/>
        <v>0</v>
      </c>
      <c r="M55" s="62">
        <f t="shared" si="3"/>
        <v>-2482.4799999999996</v>
      </c>
      <c r="N55" s="62">
        <f t="shared" si="4"/>
        <v>-7447.4399999999987</v>
      </c>
    </row>
    <row r="56" spans="1:14" x14ac:dyDescent="0.2">
      <c r="A56" t="s">
        <v>358</v>
      </c>
      <c r="B56">
        <v>1117795</v>
      </c>
      <c r="C56" s="60">
        <v>42242</v>
      </c>
      <c r="D56">
        <v>2156</v>
      </c>
      <c r="E56">
        <v>230</v>
      </c>
      <c r="F56">
        <f t="shared" si="5"/>
        <v>4963.7587999999996</v>
      </c>
      <c r="H56" s="57">
        <v>1989</v>
      </c>
      <c r="I56">
        <f t="shared" si="0"/>
        <v>4574.7</v>
      </c>
      <c r="J56" s="62">
        <f t="shared" si="1"/>
        <v>-393.6334999999998</v>
      </c>
      <c r="K56" s="61">
        <f t="shared" si="2"/>
        <v>-7.7458256029684591E-2</v>
      </c>
      <c r="L56">
        <f t="shared" si="6"/>
        <v>4.5747</v>
      </c>
      <c r="M56" s="62">
        <f t="shared" si="3"/>
        <v>-98.40837499999995</v>
      </c>
      <c r="N56" s="62">
        <f t="shared" si="4"/>
        <v>-295.22512499999982</v>
      </c>
    </row>
    <row r="57" spans="1:14" x14ac:dyDescent="0.2">
      <c r="A57" t="s">
        <v>358</v>
      </c>
      <c r="B57">
        <v>1117795</v>
      </c>
      <c r="C57" s="60">
        <v>42243</v>
      </c>
      <c r="D57">
        <v>2155</v>
      </c>
      <c r="E57">
        <v>232</v>
      </c>
      <c r="F57">
        <f t="shared" si="5"/>
        <v>5004.5995999999996</v>
      </c>
      <c r="H57" s="57">
        <v>1989</v>
      </c>
      <c r="I57">
        <f t="shared" si="0"/>
        <v>4614.4799999999996</v>
      </c>
      <c r="J57" s="62">
        <f t="shared" si="1"/>
        <v>-394.73408000000001</v>
      </c>
      <c r="K57" s="61">
        <f t="shared" si="2"/>
        <v>-7.7030162412992986E-2</v>
      </c>
      <c r="L57">
        <f t="shared" si="6"/>
        <v>4.6144799999999995</v>
      </c>
      <c r="M57" s="62">
        <f t="shared" si="3"/>
        <v>-98.683520000000001</v>
      </c>
      <c r="N57" s="62">
        <f t="shared" si="4"/>
        <v>-296.05056000000002</v>
      </c>
    </row>
    <row r="58" spans="1:14" x14ac:dyDescent="0.2">
      <c r="A58" t="s">
        <v>451</v>
      </c>
      <c r="B58">
        <v>1129790</v>
      </c>
      <c r="C58" s="60">
        <v>42243</v>
      </c>
      <c r="D58">
        <v>6765</v>
      </c>
      <c r="E58">
        <v>147</v>
      </c>
      <c r="F58">
        <f t="shared" si="5"/>
        <v>9954.4945499999976</v>
      </c>
      <c r="H58" s="56">
        <v>0</v>
      </c>
      <c r="I58">
        <f t="shared" si="0"/>
        <v>0</v>
      </c>
      <c r="J58" s="62">
        <f t="shared" si="1"/>
        <v>-9954.4945499999976</v>
      </c>
      <c r="K58" s="61">
        <f t="shared" si="2"/>
        <v>-1</v>
      </c>
      <c r="L58">
        <f t="shared" si="6"/>
        <v>0</v>
      </c>
      <c r="M58" s="62">
        <f t="shared" si="3"/>
        <v>-2488.6236374999994</v>
      </c>
      <c r="N58" s="62">
        <f t="shared" si="4"/>
        <v>-7465.8709124999987</v>
      </c>
    </row>
    <row r="59" spans="1:14" x14ac:dyDescent="0.2">
      <c r="A59" t="s">
        <v>370</v>
      </c>
      <c r="B59">
        <v>1121730</v>
      </c>
      <c r="C59" s="60">
        <v>42253</v>
      </c>
      <c r="D59">
        <v>740.5</v>
      </c>
      <c r="E59">
        <v>674</v>
      </c>
      <c r="F59">
        <f t="shared" si="5"/>
        <v>4995.9609699999992</v>
      </c>
      <c r="H59">
        <v>575</v>
      </c>
      <c r="I59">
        <f t="shared" si="0"/>
        <v>3875.5</v>
      </c>
      <c r="J59" s="62">
        <f t="shared" si="1"/>
        <v>-1124.3364699999993</v>
      </c>
      <c r="K59" s="61">
        <f t="shared" si="2"/>
        <v>-0.2234976367319379</v>
      </c>
      <c r="L59">
        <f t="shared" si="6"/>
        <v>3.8755000000000002</v>
      </c>
      <c r="M59" s="62">
        <f t="shared" si="3"/>
        <v>-281.08411749999982</v>
      </c>
      <c r="N59" s="62">
        <f t="shared" si="4"/>
        <v>-843.25235249999946</v>
      </c>
    </row>
    <row r="60" spans="1:14" x14ac:dyDescent="0.2">
      <c r="A60" t="s">
        <v>370</v>
      </c>
      <c r="B60">
        <v>1121730</v>
      </c>
      <c r="C60" s="60">
        <v>42268</v>
      </c>
      <c r="D60">
        <v>815</v>
      </c>
      <c r="E60">
        <v>1225</v>
      </c>
      <c r="F60">
        <f t="shared" si="5"/>
        <v>9993.7337499999994</v>
      </c>
      <c r="H60">
        <v>575</v>
      </c>
      <c r="I60">
        <f t="shared" si="0"/>
        <v>7043.75</v>
      </c>
      <c r="J60" s="62">
        <f t="shared" si="1"/>
        <v>-2957.0274999999992</v>
      </c>
      <c r="K60" s="61">
        <f t="shared" si="2"/>
        <v>-0.29447852760736193</v>
      </c>
      <c r="L60">
        <f t="shared" si="6"/>
        <v>7.0437500000000002</v>
      </c>
      <c r="M60" s="62">
        <f t="shared" si="3"/>
        <v>-739.25687499999981</v>
      </c>
      <c r="N60" s="62">
        <f t="shared" si="4"/>
        <v>-2217.7706249999992</v>
      </c>
    </row>
    <row r="61" spans="1:14" x14ac:dyDescent="0.2">
      <c r="A61" t="s">
        <v>449</v>
      </c>
      <c r="B61">
        <v>1127695</v>
      </c>
      <c r="C61" s="60">
        <v>42271</v>
      </c>
      <c r="D61">
        <v>6.85</v>
      </c>
      <c r="E61">
        <v>29411</v>
      </c>
      <c r="F61">
        <f t="shared" si="5"/>
        <v>2016.6681534999996</v>
      </c>
      <c r="H61" s="56">
        <v>0</v>
      </c>
      <c r="I61">
        <f t="shared" si="0"/>
        <v>0</v>
      </c>
      <c r="J61" s="62">
        <f t="shared" si="1"/>
        <v>-2016.6681534999996</v>
      </c>
      <c r="K61" s="61">
        <f t="shared" si="2"/>
        <v>-1</v>
      </c>
      <c r="L61">
        <f t="shared" si="6"/>
        <v>0</v>
      </c>
      <c r="M61" s="62">
        <f t="shared" si="3"/>
        <v>-504.16703837499989</v>
      </c>
      <c r="N61" s="62">
        <f t="shared" si="4"/>
        <v>-1512.5011151249996</v>
      </c>
    </row>
    <row r="62" spans="1:14" x14ac:dyDescent="0.2">
      <c r="A62" t="s">
        <v>366</v>
      </c>
      <c r="B62">
        <v>1120609</v>
      </c>
      <c r="C62" s="60">
        <v>42283</v>
      </c>
      <c r="D62">
        <v>409</v>
      </c>
      <c r="E62">
        <v>2439</v>
      </c>
      <c r="F62">
        <f t="shared" si="5"/>
        <v>9985.4855099999986</v>
      </c>
      <c r="H62">
        <v>194.4</v>
      </c>
      <c r="I62">
        <f t="shared" si="0"/>
        <v>4741.4160000000002</v>
      </c>
      <c r="J62" s="62">
        <f t="shared" si="1"/>
        <v>-5248.8109259999983</v>
      </c>
      <c r="K62" s="61">
        <f t="shared" si="2"/>
        <v>-0.52469437652811735</v>
      </c>
      <c r="L62">
        <f t="shared" si="6"/>
        <v>4.7414160000000001</v>
      </c>
      <c r="M62" s="62">
        <f t="shared" si="3"/>
        <v>-1312.2027314999996</v>
      </c>
      <c r="N62" s="62">
        <f t="shared" si="4"/>
        <v>-3936.6081944999987</v>
      </c>
    </row>
    <row r="63" spans="1:14" x14ac:dyDescent="0.2">
      <c r="A63" t="s">
        <v>322</v>
      </c>
      <c r="B63">
        <v>1101518</v>
      </c>
      <c r="C63" s="60">
        <v>42284</v>
      </c>
      <c r="D63">
        <v>590.92999999999995</v>
      </c>
      <c r="E63">
        <v>850</v>
      </c>
      <c r="F63">
        <f t="shared" si="5"/>
        <v>5027.9279049999986</v>
      </c>
      <c r="H63">
        <v>403.1</v>
      </c>
      <c r="I63">
        <f t="shared" si="0"/>
        <v>3426.35</v>
      </c>
      <c r="J63" s="62">
        <f t="shared" si="1"/>
        <v>-1605.0042549999987</v>
      </c>
      <c r="K63" s="61">
        <f t="shared" si="2"/>
        <v>-0.31785490667253302</v>
      </c>
      <c r="L63">
        <f t="shared" si="6"/>
        <v>3.4263499999999998</v>
      </c>
      <c r="M63" s="62">
        <f t="shared" si="3"/>
        <v>-401.25106374999967</v>
      </c>
      <c r="N63" s="62">
        <f t="shared" si="4"/>
        <v>-1203.753191249999</v>
      </c>
    </row>
    <row r="64" spans="1:14" x14ac:dyDescent="0.2">
      <c r="A64" t="s">
        <v>452</v>
      </c>
      <c r="B64">
        <v>1117654</v>
      </c>
      <c r="C64" s="60">
        <v>42284</v>
      </c>
      <c r="D64">
        <v>514</v>
      </c>
      <c r="E64">
        <v>1932</v>
      </c>
      <c r="F64">
        <f t="shared" si="5"/>
        <v>9940.4104799999986</v>
      </c>
      <c r="H64" s="56">
        <v>0</v>
      </c>
      <c r="I64">
        <f t="shared" si="0"/>
        <v>0</v>
      </c>
      <c r="J64" s="62">
        <f t="shared" si="1"/>
        <v>-9940.4104799999986</v>
      </c>
      <c r="K64" s="61">
        <f t="shared" si="2"/>
        <v>-1</v>
      </c>
      <c r="L64">
        <f t="shared" si="6"/>
        <v>0</v>
      </c>
      <c r="M64" s="62">
        <f t="shared" si="3"/>
        <v>-2485.1026199999997</v>
      </c>
      <c r="N64" s="62">
        <f t="shared" si="4"/>
        <v>-7455.307859999999</v>
      </c>
    </row>
    <row r="65" spans="1:14" x14ac:dyDescent="0.2">
      <c r="A65" t="s">
        <v>138</v>
      </c>
      <c r="B65">
        <v>585018</v>
      </c>
      <c r="C65" s="60">
        <v>42285</v>
      </c>
      <c r="D65">
        <v>1713</v>
      </c>
      <c r="E65">
        <v>875</v>
      </c>
      <c r="F65">
        <f t="shared" si="5"/>
        <v>15003.738749999997</v>
      </c>
      <c r="H65">
        <v>1470</v>
      </c>
      <c r="I65">
        <f t="shared" si="0"/>
        <v>12862.5</v>
      </c>
      <c r="J65" s="62">
        <f t="shared" si="1"/>
        <v>-2154.101249999997</v>
      </c>
      <c r="K65" s="61">
        <f t="shared" si="2"/>
        <v>-0.14185639229422065</v>
      </c>
      <c r="L65">
        <f t="shared" si="6"/>
        <v>12.862500000000001</v>
      </c>
      <c r="M65" s="62">
        <f t="shared" si="3"/>
        <v>-538.52531249999925</v>
      </c>
      <c r="N65" s="62">
        <f t="shared" si="4"/>
        <v>-1615.5759374999977</v>
      </c>
    </row>
    <row r="66" spans="1:14" x14ac:dyDescent="0.2">
      <c r="A66" t="s">
        <v>452</v>
      </c>
      <c r="B66">
        <v>1117654</v>
      </c>
      <c r="C66" s="60">
        <v>42291</v>
      </c>
      <c r="D66">
        <v>480</v>
      </c>
      <c r="E66">
        <v>2074</v>
      </c>
      <c r="F66">
        <f t="shared" si="5"/>
        <v>9965.1551999999992</v>
      </c>
      <c r="H66" s="56">
        <v>0</v>
      </c>
      <c r="I66">
        <f t="shared" ref="I66:I129" si="7">+(H66*E66)/100</f>
        <v>0</v>
      </c>
      <c r="J66" s="62">
        <f t="shared" ref="J66:J129" si="8">+I66-F66-L66</f>
        <v>-9965.1551999999992</v>
      </c>
      <c r="K66" s="61">
        <f t="shared" ref="K66:K129" si="9">+(H66/D66-1)</f>
        <v>-1</v>
      </c>
      <c r="L66">
        <f t="shared" si="6"/>
        <v>0</v>
      </c>
      <c r="M66" s="62">
        <f t="shared" ref="M66:M129" si="10">+J66*0.25</f>
        <v>-2491.2887999999998</v>
      </c>
      <c r="N66" s="62">
        <f t="shared" ref="N66:N129" si="11">+J66-M66</f>
        <v>-7473.866399999999</v>
      </c>
    </row>
    <row r="67" spans="1:14" x14ac:dyDescent="0.2">
      <c r="A67" t="s">
        <v>134</v>
      </c>
      <c r="B67">
        <v>576017</v>
      </c>
      <c r="C67" s="60">
        <v>42297</v>
      </c>
      <c r="D67">
        <v>101200</v>
      </c>
      <c r="E67">
        <v>14</v>
      </c>
      <c r="F67">
        <f t="shared" si="5"/>
        <v>14182.167999999998</v>
      </c>
      <c r="H67">
        <v>60340</v>
      </c>
      <c r="I67">
        <f t="shared" si="7"/>
        <v>8447.6</v>
      </c>
      <c r="J67" s="62">
        <f t="shared" si="8"/>
        <v>-5743.0155999999979</v>
      </c>
      <c r="K67" s="61">
        <f t="shared" si="9"/>
        <v>-0.40375494071146245</v>
      </c>
      <c r="L67">
        <f t="shared" si="6"/>
        <v>8.4476000000000013</v>
      </c>
      <c r="M67" s="62">
        <f t="shared" si="10"/>
        <v>-1435.7538999999995</v>
      </c>
      <c r="N67" s="62">
        <f t="shared" si="11"/>
        <v>-4307.2616999999982</v>
      </c>
    </row>
    <row r="68" spans="1:14" x14ac:dyDescent="0.2">
      <c r="A68" t="s">
        <v>27</v>
      </c>
      <c r="B68">
        <v>198010</v>
      </c>
      <c r="C68" s="60">
        <v>42298</v>
      </c>
      <c r="D68">
        <v>1073</v>
      </c>
      <c r="E68">
        <v>933</v>
      </c>
      <c r="F68">
        <f t="shared" ref="F68:F131" si="12">+((E68*D68)*1.001)/100</f>
        <v>10021.10109</v>
      </c>
      <c r="H68" s="57">
        <v>871.3</v>
      </c>
      <c r="I68">
        <f t="shared" si="7"/>
        <v>8129.2289999999994</v>
      </c>
      <c r="J68" s="62">
        <f t="shared" si="8"/>
        <v>-1900.0013190000006</v>
      </c>
      <c r="K68" s="61">
        <f t="shared" si="9"/>
        <v>-0.18797763280521906</v>
      </c>
      <c r="L68">
        <f t="shared" si="6"/>
        <v>8.1292289999999987</v>
      </c>
      <c r="M68" s="62">
        <f t="shared" si="10"/>
        <v>-475.00032975000016</v>
      </c>
      <c r="N68" s="62">
        <f t="shared" si="11"/>
        <v>-1425.0009892500004</v>
      </c>
    </row>
    <row r="69" spans="1:14" x14ac:dyDescent="0.2">
      <c r="A69" t="s">
        <v>117</v>
      </c>
      <c r="B69">
        <v>496018</v>
      </c>
      <c r="C69" s="60">
        <v>42299</v>
      </c>
      <c r="D69">
        <v>61</v>
      </c>
      <c r="E69">
        <v>8130</v>
      </c>
      <c r="F69">
        <f t="shared" si="12"/>
        <v>4964.2592999999997</v>
      </c>
      <c r="H69">
        <v>30.9</v>
      </c>
      <c r="I69">
        <f t="shared" si="7"/>
        <v>2512.17</v>
      </c>
      <c r="J69" s="62">
        <f t="shared" si="8"/>
        <v>-2454.6014699999996</v>
      </c>
      <c r="K69" s="61">
        <f t="shared" si="9"/>
        <v>-0.49344262295081964</v>
      </c>
      <c r="L69">
        <f t="shared" si="6"/>
        <v>2.5121700000000002</v>
      </c>
      <c r="M69" s="62">
        <f t="shared" si="10"/>
        <v>-613.6503674999999</v>
      </c>
      <c r="N69" s="62">
        <f t="shared" si="11"/>
        <v>-1840.9511024999997</v>
      </c>
    </row>
    <row r="70" spans="1:14" x14ac:dyDescent="0.2">
      <c r="A70" t="s">
        <v>54</v>
      </c>
      <c r="B70">
        <v>281014</v>
      </c>
      <c r="C70" s="60">
        <v>42304</v>
      </c>
      <c r="D70">
        <v>2214</v>
      </c>
      <c r="E70">
        <v>675</v>
      </c>
      <c r="F70">
        <f t="shared" si="12"/>
        <v>14959.444499999998</v>
      </c>
      <c r="H70">
        <v>1421</v>
      </c>
      <c r="I70">
        <f t="shared" si="7"/>
        <v>9591.75</v>
      </c>
      <c r="J70" s="62">
        <f t="shared" si="8"/>
        <v>-5377.2862499999974</v>
      </c>
      <c r="K70" s="61">
        <f t="shared" si="9"/>
        <v>-0.35817524841915083</v>
      </c>
      <c r="L70">
        <f t="shared" si="6"/>
        <v>9.5917499999999993</v>
      </c>
      <c r="M70" s="62">
        <f t="shared" si="10"/>
        <v>-1344.3215624999993</v>
      </c>
      <c r="N70" s="62">
        <f t="shared" si="11"/>
        <v>-4032.964687499998</v>
      </c>
    </row>
    <row r="71" spans="1:14" x14ac:dyDescent="0.2">
      <c r="A71" t="s">
        <v>322</v>
      </c>
      <c r="B71">
        <v>1101518</v>
      </c>
      <c r="C71" s="60">
        <v>42305</v>
      </c>
      <c r="D71">
        <v>539.5</v>
      </c>
      <c r="E71">
        <v>927</v>
      </c>
      <c r="F71">
        <f t="shared" si="12"/>
        <v>5006.1661649999996</v>
      </c>
      <c r="H71">
        <v>403.1</v>
      </c>
      <c r="I71">
        <f t="shared" si="7"/>
        <v>3736.7370000000001</v>
      </c>
      <c r="J71" s="62">
        <f t="shared" si="8"/>
        <v>-1273.1659019999995</v>
      </c>
      <c r="K71" s="61">
        <f t="shared" si="9"/>
        <v>-0.25282669138090819</v>
      </c>
      <c r="L71">
        <f t="shared" ref="L71:L129" si="13">+I71*0.001</f>
        <v>3.7367370000000002</v>
      </c>
      <c r="M71" s="62">
        <f t="shared" si="10"/>
        <v>-318.29147549999988</v>
      </c>
      <c r="N71" s="62">
        <f t="shared" si="11"/>
        <v>-954.87442649999957</v>
      </c>
    </row>
    <row r="72" spans="1:14" x14ac:dyDescent="0.2">
      <c r="A72" t="s">
        <v>134</v>
      </c>
      <c r="B72">
        <v>576017</v>
      </c>
      <c r="C72" s="60">
        <v>42306</v>
      </c>
      <c r="D72">
        <v>101700</v>
      </c>
      <c r="E72">
        <v>9</v>
      </c>
      <c r="F72">
        <f t="shared" si="12"/>
        <v>9162.1529999999984</v>
      </c>
      <c r="H72">
        <v>60340</v>
      </c>
      <c r="I72">
        <f t="shared" si="7"/>
        <v>5430.6</v>
      </c>
      <c r="J72" s="62">
        <f t="shared" si="8"/>
        <v>-3736.9835999999982</v>
      </c>
      <c r="K72" s="61">
        <f t="shared" si="9"/>
        <v>-0.40668633235004914</v>
      </c>
      <c r="L72">
        <f t="shared" si="13"/>
        <v>5.4306000000000001</v>
      </c>
      <c r="M72" s="62">
        <f t="shared" si="10"/>
        <v>-934.24589999999955</v>
      </c>
      <c r="N72" s="62">
        <f t="shared" si="11"/>
        <v>-2802.7376999999988</v>
      </c>
    </row>
    <row r="73" spans="1:14" x14ac:dyDescent="0.2">
      <c r="A73" t="s">
        <v>134</v>
      </c>
      <c r="B73">
        <v>576017</v>
      </c>
      <c r="C73" s="60">
        <v>42310</v>
      </c>
      <c r="D73">
        <v>99400</v>
      </c>
      <c r="E73">
        <v>10</v>
      </c>
      <c r="F73">
        <f t="shared" si="12"/>
        <v>9949.9399999999987</v>
      </c>
      <c r="H73">
        <v>60340</v>
      </c>
      <c r="I73">
        <f t="shared" si="7"/>
        <v>6034</v>
      </c>
      <c r="J73" s="62">
        <f t="shared" si="8"/>
        <v>-3921.9739999999988</v>
      </c>
      <c r="K73" s="61">
        <f t="shared" si="9"/>
        <v>-0.39295774647887327</v>
      </c>
      <c r="L73">
        <f t="shared" si="13"/>
        <v>6.0339999999999998</v>
      </c>
      <c r="M73" s="62">
        <f t="shared" si="10"/>
        <v>-980.4934999999997</v>
      </c>
      <c r="N73" s="62">
        <f t="shared" si="11"/>
        <v>-2941.4804999999992</v>
      </c>
    </row>
    <row r="74" spans="1:14" x14ac:dyDescent="0.2">
      <c r="A74" t="s">
        <v>370</v>
      </c>
      <c r="B74">
        <v>1121730</v>
      </c>
      <c r="C74" s="60">
        <v>42316</v>
      </c>
      <c r="D74">
        <v>654</v>
      </c>
      <c r="E74">
        <v>1517</v>
      </c>
      <c r="F74">
        <f t="shared" si="12"/>
        <v>9931.1011799999997</v>
      </c>
      <c r="H74">
        <v>575</v>
      </c>
      <c r="I74">
        <f t="shared" si="7"/>
        <v>8722.75</v>
      </c>
      <c r="J74" s="62">
        <f t="shared" si="8"/>
        <v>-1217.0739299999996</v>
      </c>
      <c r="K74" s="61">
        <f t="shared" si="9"/>
        <v>-0.12079510703363916</v>
      </c>
      <c r="L74">
        <f t="shared" si="13"/>
        <v>8.7227499999999996</v>
      </c>
      <c r="M74" s="62">
        <f t="shared" si="10"/>
        <v>-304.26848249999989</v>
      </c>
      <c r="N74" s="62">
        <f t="shared" si="11"/>
        <v>-912.80544749999967</v>
      </c>
    </row>
    <row r="75" spans="1:14" x14ac:dyDescent="0.2">
      <c r="A75" t="s">
        <v>370</v>
      </c>
      <c r="B75">
        <v>1121730</v>
      </c>
      <c r="C75" s="60">
        <v>42320</v>
      </c>
      <c r="D75">
        <v>600.20000000000005</v>
      </c>
      <c r="E75">
        <v>1640</v>
      </c>
      <c r="F75">
        <f t="shared" si="12"/>
        <v>9853.1232799999998</v>
      </c>
      <c r="H75">
        <v>575</v>
      </c>
      <c r="I75">
        <f t="shared" si="7"/>
        <v>9430</v>
      </c>
      <c r="J75" s="62">
        <f t="shared" si="8"/>
        <v>-432.5532799999998</v>
      </c>
      <c r="K75" s="61">
        <f t="shared" si="9"/>
        <v>-4.1986004665111709E-2</v>
      </c>
      <c r="L75">
        <f t="shared" si="13"/>
        <v>9.43</v>
      </c>
      <c r="M75" s="62">
        <f t="shared" si="10"/>
        <v>-108.13831999999995</v>
      </c>
      <c r="N75" s="62">
        <f t="shared" si="11"/>
        <v>-324.41495999999984</v>
      </c>
    </row>
    <row r="76" spans="1:14" x14ac:dyDescent="0.2">
      <c r="A76" t="s">
        <v>409</v>
      </c>
      <c r="B76">
        <v>2590248</v>
      </c>
      <c r="C76" s="60">
        <v>42325</v>
      </c>
      <c r="D76">
        <v>154.19999999999999</v>
      </c>
      <c r="E76">
        <v>6485</v>
      </c>
      <c r="F76">
        <f t="shared" si="12"/>
        <v>10009.869869999997</v>
      </c>
      <c r="H76">
        <v>136.6</v>
      </c>
      <c r="I76">
        <f t="shared" si="7"/>
        <v>8858.51</v>
      </c>
      <c r="J76" s="62">
        <f t="shared" si="8"/>
        <v>-1160.2183799999966</v>
      </c>
      <c r="K76" s="61">
        <f t="shared" si="9"/>
        <v>-0.11413748378728916</v>
      </c>
      <c r="L76">
        <f t="shared" si="13"/>
        <v>8.8585100000000008</v>
      </c>
      <c r="M76" s="62">
        <f t="shared" si="10"/>
        <v>-290.05459499999915</v>
      </c>
      <c r="N76" s="62">
        <f t="shared" si="11"/>
        <v>-870.16378499999746</v>
      </c>
    </row>
    <row r="77" spans="1:14" x14ac:dyDescent="0.2">
      <c r="A77" t="s">
        <v>370</v>
      </c>
      <c r="B77">
        <v>1121730</v>
      </c>
      <c r="C77" s="60">
        <v>42347</v>
      </c>
      <c r="D77">
        <v>492</v>
      </c>
      <c r="E77">
        <v>1010</v>
      </c>
      <c r="F77">
        <f t="shared" si="12"/>
        <v>4974.1691999999994</v>
      </c>
      <c r="H77">
        <v>575</v>
      </c>
      <c r="I77">
        <f t="shared" si="7"/>
        <v>5807.5</v>
      </c>
      <c r="J77" s="62">
        <f t="shared" si="8"/>
        <v>827.52330000000063</v>
      </c>
      <c r="K77" s="61">
        <f t="shared" si="9"/>
        <v>0.16869918699186992</v>
      </c>
      <c r="L77">
        <f t="shared" si="13"/>
        <v>5.8075000000000001</v>
      </c>
      <c r="M77" s="62">
        <f t="shared" si="10"/>
        <v>206.88082500000016</v>
      </c>
      <c r="N77" s="62">
        <f t="shared" si="11"/>
        <v>620.64247500000045</v>
      </c>
    </row>
    <row r="78" spans="1:14" x14ac:dyDescent="0.2">
      <c r="A78" t="s">
        <v>134</v>
      </c>
      <c r="B78">
        <v>576017</v>
      </c>
      <c r="C78" s="60">
        <v>42358</v>
      </c>
      <c r="D78">
        <v>68600</v>
      </c>
      <c r="E78">
        <v>21</v>
      </c>
      <c r="F78">
        <f t="shared" si="12"/>
        <v>14420.405999999999</v>
      </c>
      <c r="H78">
        <v>60340</v>
      </c>
      <c r="I78">
        <f t="shared" si="7"/>
        <v>12671.4</v>
      </c>
      <c r="J78" s="62">
        <f t="shared" si="8"/>
        <v>-1761.6773999999994</v>
      </c>
      <c r="K78" s="61">
        <f t="shared" si="9"/>
        <v>-0.12040816326530612</v>
      </c>
      <c r="L78">
        <f t="shared" si="13"/>
        <v>12.6714</v>
      </c>
      <c r="M78" s="62">
        <f t="shared" si="10"/>
        <v>-440.41934999999984</v>
      </c>
      <c r="N78" s="62">
        <f t="shared" si="11"/>
        <v>-1321.2580499999995</v>
      </c>
    </row>
    <row r="79" spans="1:14" x14ac:dyDescent="0.2">
      <c r="A79" t="s">
        <v>370</v>
      </c>
      <c r="B79">
        <v>1121730</v>
      </c>
      <c r="C79" s="60">
        <v>42374</v>
      </c>
      <c r="D79">
        <v>432.6</v>
      </c>
      <c r="E79">
        <v>2302</v>
      </c>
      <c r="F79">
        <f t="shared" si="12"/>
        <v>9968.4104520000001</v>
      </c>
      <c r="H79">
        <v>575</v>
      </c>
      <c r="I79">
        <f t="shared" si="7"/>
        <v>13236.5</v>
      </c>
      <c r="J79" s="62">
        <f t="shared" si="8"/>
        <v>3254.8530479999999</v>
      </c>
      <c r="K79" s="61">
        <f t="shared" si="9"/>
        <v>0.32917244567729997</v>
      </c>
      <c r="L79">
        <f t="shared" si="13"/>
        <v>13.236499999999999</v>
      </c>
      <c r="M79" s="62">
        <f t="shared" si="10"/>
        <v>813.71326199999999</v>
      </c>
      <c r="N79" s="62">
        <f t="shared" si="11"/>
        <v>2441.1397859999997</v>
      </c>
    </row>
    <row r="80" spans="1:14" x14ac:dyDescent="0.2">
      <c r="A80" t="s">
        <v>358</v>
      </c>
      <c r="B80">
        <v>1117795</v>
      </c>
      <c r="C80" s="60">
        <v>42374</v>
      </c>
      <c r="D80">
        <v>1973</v>
      </c>
      <c r="E80">
        <v>253</v>
      </c>
      <c r="F80">
        <f t="shared" si="12"/>
        <v>4996.6816899999994</v>
      </c>
      <c r="H80" s="57">
        <v>1989</v>
      </c>
      <c r="I80">
        <f t="shared" si="7"/>
        <v>5032.17</v>
      </c>
      <c r="J80" s="62">
        <f t="shared" si="8"/>
        <v>30.456140000000637</v>
      </c>
      <c r="K80" s="61">
        <f t="shared" si="9"/>
        <v>8.1094779523567251E-3</v>
      </c>
      <c r="L80">
        <f t="shared" si="13"/>
        <v>5.0321699999999998</v>
      </c>
      <c r="M80" s="62">
        <f t="shared" si="10"/>
        <v>7.6140350000001593</v>
      </c>
      <c r="N80" s="62">
        <f t="shared" si="11"/>
        <v>22.84210500000048</v>
      </c>
    </row>
    <row r="81" spans="1:14" x14ac:dyDescent="0.2">
      <c r="A81" t="s">
        <v>409</v>
      </c>
      <c r="B81">
        <v>2590248</v>
      </c>
      <c r="C81" s="60">
        <v>42381</v>
      </c>
      <c r="D81">
        <v>160.9</v>
      </c>
      <c r="E81">
        <v>6211</v>
      </c>
      <c r="F81">
        <f t="shared" si="12"/>
        <v>10003.492499</v>
      </c>
      <c r="H81">
        <v>136.6</v>
      </c>
      <c r="I81">
        <f t="shared" si="7"/>
        <v>8484.2260000000006</v>
      </c>
      <c r="J81" s="62">
        <f t="shared" si="8"/>
        <v>-1527.7507249999994</v>
      </c>
      <c r="K81" s="61">
        <f t="shared" si="9"/>
        <v>-0.1510254816656309</v>
      </c>
      <c r="L81">
        <f t="shared" si="13"/>
        <v>8.4842260000000014</v>
      </c>
      <c r="M81" s="62">
        <f t="shared" si="10"/>
        <v>-381.93768124999986</v>
      </c>
      <c r="N81" s="62">
        <f t="shared" si="11"/>
        <v>-1145.8130437499995</v>
      </c>
    </row>
    <row r="82" spans="1:14" x14ac:dyDescent="0.2">
      <c r="A82" t="s">
        <v>322</v>
      </c>
      <c r="B82">
        <v>1101518</v>
      </c>
      <c r="C82" s="60">
        <v>42382</v>
      </c>
      <c r="D82">
        <v>450</v>
      </c>
      <c r="E82">
        <v>1103</v>
      </c>
      <c r="F82">
        <f t="shared" si="12"/>
        <v>4968.4634999999989</v>
      </c>
      <c r="H82">
        <v>403.1</v>
      </c>
      <c r="I82">
        <f t="shared" si="7"/>
        <v>4446.1930000000002</v>
      </c>
      <c r="J82" s="62">
        <f t="shared" si="8"/>
        <v>-526.71669299999871</v>
      </c>
      <c r="K82" s="61">
        <f t="shared" si="9"/>
        <v>-0.10422222222222222</v>
      </c>
      <c r="L82">
        <f t="shared" si="13"/>
        <v>4.4461930000000001</v>
      </c>
      <c r="M82" s="62">
        <f t="shared" si="10"/>
        <v>-131.67917324999968</v>
      </c>
      <c r="N82" s="62">
        <f t="shared" si="11"/>
        <v>-395.03751974999903</v>
      </c>
    </row>
    <row r="83" spans="1:14" x14ac:dyDescent="0.2">
      <c r="A83" t="s">
        <v>370</v>
      </c>
      <c r="B83">
        <v>1121730</v>
      </c>
      <c r="C83" s="60">
        <v>42390</v>
      </c>
      <c r="D83">
        <v>299.89999999999998</v>
      </c>
      <c r="E83">
        <v>1661</v>
      </c>
      <c r="F83">
        <f t="shared" si="12"/>
        <v>4986.320338999999</v>
      </c>
      <c r="H83">
        <v>575</v>
      </c>
      <c r="I83">
        <f t="shared" si="7"/>
        <v>9550.75</v>
      </c>
      <c r="J83" s="62">
        <f t="shared" si="8"/>
        <v>4554.8789110000007</v>
      </c>
      <c r="K83" s="61">
        <f t="shared" si="9"/>
        <v>0.91730576858953006</v>
      </c>
      <c r="L83">
        <f t="shared" si="13"/>
        <v>9.5507500000000007</v>
      </c>
      <c r="M83" s="62">
        <f t="shared" si="10"/>
        <v>1138.7197277500002</v>
      </c>
      <c r="N83" s="62">
        <f t="shared" si="11"/>
        <v>3416.1591832500008</v>
      </c>
    </row>
    <row r="84" spans="1:14" x14ac:dyDescent="0.2">
      <c r="A84" t="s">
        <v>386</v>
      </c>
      <c r="B84">
        <v>1130699</v>
      </c>
      <c r="C84" s="60">
        <v>42400</v>
      </c>
      <c r="D84">
        <v>56930</v>
      </c>
      <c r="E84">
        <v>17</v>
      </c>
      <c r="F84">
        <f t="shared" si="12"/>
        <v>9687.7780999999995</v>
      </c>
      <c r="H84" s="57">
        <v>34100</v>
      </c>
      <c r="I84">
        <f t="shared" si="7"/>
        <v>5797</v>
      </c>
      <c r="J84" s="62">
        <f t="shared" si="8"/>
        <v>-3896.5750999999996</v>
      </c>
      <c r="K84" s="61">
        <f t="shared" si="9"/>
        <v>-0.40101879501141757</v>
      </c>
      <c r="L84">
        <f t="shared" si="13"/>
        <v>5.7969999999999997</v>
      </c>
      <c r="M84" s="62">
        <f t="shared" si="10"/>
        <v>-974.14377499999989</v>
      </c>
      <c r="N84" s="62">
        <f t="shared" si="11"/>
        <v>-2922.4313249999996</v>
      </c>
    </row>
    <row r="85" spans="1:14" x14ac:dyDescent="0.2">
      <c r="A85" s="64" t="s">
        <v>453</v>
      </c>
      <c r="B85">
        <v>1105832</v>
      </c>
      <c r="C85" s="60">
        <v>42411</v>
      </c>
      <c r="D85">
        <v>84.7</v>
      </c>
      <c r="E85">
        <v>17688</v>
      </c>
      <c r="F85">
        <f t="shared" si="12"/>
        <v>14996.717735999999</v>
      </c>
      <c r="H85" s="56">
        <v>0</v>
      </c>
      <c r="I85">
        <f t="shared" si="7"/>
        <v>0</v>
      </c>
      <c r="J85" s="62">
        <f t="shared" si="8"/>
        <v>-14996.717735999999</v>
      </c>
      <c r="K85" s="61">
        <f t="shared" si="9"/>
        <v>-1</v>
      </c>
      <c r="L85">
        <f t="shared" si="13"/>
        <v>0</v>
      </c>
      <c r="M85" s="62">
        <f t="shared" si="10"/>
        <v>-3749.1794339999997</v>
      </c>
      <c r="N85" s="62">
        <f t="shared" si="11"/>
        <v>-11247.538301999999</v>
      </c>
    </row>
    <row r="86" spans="1:14" x14ac:dyDescent="0.2">
      <c r="A86" s="64" t="s">
        <v>114</v>
      </c>
      <c r="B86">
        <v>485011</v>
      </c>
      <c r="C86" s="60">
        <v>42416</v>
      </c>
      <c r="D86">
        <v>72.099999999999994</v>
      </c>
      <c r="E86">
        <v>13850</v>
      </c>
      <c r="F86">
        <f t="shared" si="12"/>
        <v>9995.8358499999977</v>
      </c>
      <c r="H86">
        <v>63.9</v>
      </c>
      <c r="I86">
        <f t="shared" si="7"/>
        <v>8850.15</v>
      </c>
      <c r="J86" s="62">
        <f t="shared" si="8"/>
        <v>-1154.535999999998</v>
      </c>
      <c r="K86" s="61">
        <f t="shared" si="9"/>
        <v>-0.1137309292649098</v>
      </c>
      <c r="L86">
        <f t="shared" si="13"/>
        <v>8.8501499999999993</v>
      </c>
      <c r="M86" s="62">
        <f t="shared" si="10"/>
        <v>-288.6339999999995</v>
      </c>
      <c r="N86" s="62">
        <f t="shared" si="11"/>
        <v>-865.90199999999845</v>
      </c>
    </row>
    <row r="87" spans="1:14" x14ac:dyDescent="0.2">
      <c r="A87" s="64" t="s">
        <v>370</v>
      </c>
      <c r="B87">
        <v>1121730</v>
      </c>
      <c r="C87" s="60">
        <v>42416</v>
      </c>
      <c r="D87">
        <v>320</v>
      </c>
      <c r="E87">
        <v>1552</v>
      </c>
      <c r="F87">
        <f t="shared" si="12"/>
        <v>4971.3663999999999</v>
      </c>
      <c r="H87">
        <v>575</v>
      </c>
      <c r="I87">
        <f t="shared" si="7"/>
        <v>8924</v>
      </c>
      <c r="J87" s="62">
        <f t="shared" si="8"/>
        <v>3943.7096000000001</v>
      </c>
      <c r="K87" s="61">
        <f t="shared" si="9"/>
        <v>0.796875</v>
      </c>
      <c r="L87">
        <f t="shared" si="13"/>
        <v>8.9239999999999995</v>
      </c>
      <c r="M87" s="62">
        <f t="shared" si="10"/>
        <v>985.92740000000003</v>
      </c>
      <c r="N87" s="62">
        <f t="shared" si="11"/>
        <v>2957.7822000000001</v>
      </c>
    </row>
    <row r="88" spans="1:14" x14ac:dyDescent="0.2">
      <c r="A88" t="s">
        <v>386</v>
      </c>
      <c r="B88">
        <v>1130699</v>
      </c>
      <c r="C88" s="60">
        <v>42418</v>
      </c>
      <c r="D88">
        <v>53120</v>
      </c>
      <c r="E88">
        <v>18</v>
      </c>
      <c r="F88">
        <f t="shared" si="12"/>
        <v>9571.1615999999995</v>
      </c>
      <c r="H88" s="57">
        <v>34100</v>
      </c>
      <c r="I88">
        <f t="shared" si="7"/>
        <v>6138</v>
      </c>
      <c r="J88" s="62">
        <f t="shared" si="8"/>
        <v>-3439.2995999999994</v>
      </c>
      <c r="K88" s="61">
        <f t="shared" si="9"/>
        <v>-0.35805722891566261</v>
      </c>
      <c r="L88">
        <f t="shared" si="13"/>
        <v>6.1379999999999999</v>
      </c>
      <c r="M88" s="62">
        <f t="shared" si="10"/>
        <v>-859.82489999999984</v>
      </c>
      <c r="N88" s="62">
        <f t="shared" si="11"/>
        <v>-2579.4746999999998</v>
      </c>
    </row>
    <row r="89" spans="1:14" x14ac:dyDescent="0.2">
      <c r="A89" t="s">
        <v>370</v>
      </c>
      <c r="B89">
        <v>1121730</v>
      </c>
      <c r="C89" s="60">
        <v>42437</v>
      </c>
      <c r="D89">
        <v>603.4</v>
      </c>
      <c r="E89">
        <v>1657</v>
      </c>
      <c r="F89">
        <f t="shared" si="12"/>
        <v>10008.336337999999</v>
      </c>
      <c r="H89">
        <v>575</v>
      </c>
      <c r="I89">
        <f t="shared" si="7"/>
        <v>9527.75</v>
      </c>
      <c r="J89" s="62">
        <f t="shared" si="8"/>
        <v>-490.11408799999919</v>
      </c>
      <c r="K89" s="61">
        <f t="shared" si="9"/>
        <v>-4.7066622472654918E-2</v>
      </c>
      <c r="L89">
        <f t="shared" si="13"/>
        <v>9.5277500000000011</v>
      </c>
      <c r="M89" s="62">
        <f t="shared" si="10"/>
        <v>-122.5285219999998</v>
      </c>
      <c r="N89" s="62">
        <f t="shared" si="11"/>
        <v>-367.5855659999994</v>
      </c>
    </row>
    <row r="90" spans="1:14" x14ac:dyDescent="0.2">
      <c r="A90" s="64" t="s">
        <v>370</v>
      </c>
      <c r="B90">
        <v>1121730</v>
      </c>
      <c r="C90" s="60">
        <v>42446</v>
      </c>
      <c r="D90">
        <v>552</v>
      </c>
      <c r="E90">
        <v>885</v>
      </c>
      <c r="F90">
        <f t="shared" si="12"/>
        <v>4890.0851999999995</v>
      </c>
      <c r="H90">
        <v>575</v>
      </c>
      <c r="I90">
        <f t="shared" si="7"/>
        <v>5088.75</v>
      </c>
      <c r="J90" s="62">
        <f t="shared" si="8"/>
        <v>193.57605000000046</v>
      </c>
      <c r="K90" s="61">
        <f t="shared" si="9"/>
        <v>4.1666666666666741E-2</v>
      </c>
      <c r="L90">
        <f t="shared" si="13"/>
        <v>5.0887500000000001</v>
      </c>
      <c r="M90" s="62">
        <f t="shared" si="10"/>
        <v>48.394012500000116</v>
      </c>
      <c r="N90" s="62">
        <f t="shared" si="11"/>
        <v>145.18203750000035</v>
      </c>
    </row>
    <row r="91" spans="1:14" x14ac:dyDescent="0.2">
      <c r="A91" t="s">
        <v>322</v>
      </c>
      <c r="B91">
        <v>1101518</v>
      </c>
      <c r="C91" s="60">
        <v>42458</v>
      </c>
      <c r="D91">
        <v>398</v>
      </c>
      <c r="E91">
        <v>1246</v>
      </c>
      <c r="F91">
        <f t="shared" si="12"/>
        <v>4964.0390799999996</v>
      </c>
      <c r="H91">
        <v>403.1</v>
      </c>
      <c r="I91">
        <f t="shared" si="7"/>
        <v>5022.6260000000002</v>
      </c>
      <c r="J91" s="62">
        <f t="shared" si="8"/>
        <v>53.564294000000643</v>
      </c>
      <c r="K91" s="61">
        <f t="shared" si="9"/>
        <v>1.2814070351758744E-2</v>
      </c>
      <c r="L91">
        <f t="shared" si="13"/>
        <v>5.0226260000000007</v>
      </c>
      <c r="M91" s="62">
        <f t="shared" si="10"/>
        <v>13.391073500000161</v>
      </c>
      <c r="N91" s="62">
        <f t="shared" si="11"/>
        <v>40.173220500000483</v>
      </c>
    </row>
    <row r="92" spans="1:14" x14ac:dyDescent="0.2">
      <c r="A92" s="64" t="s">
        <v>370</v>
      </c>
      <c r="B92">
        <v>1121730</v>
      </c>
      <c r="C92" s="60">
        <v>42466</v>
      </c>
      <c r="D92">
        <v>599</v>
      </c>
      <c r="E92">
        <v>220</v>
      </c>
      <c r="F92">
        <f t="shared" si="12"/>
        <v>1319.1178</v>
      </c>
      <c r="H92">
        <v>575</v>
      </c>
      <c r="I92">
        <f t="shared" si="7"/>
        <v>1265</v>
      </c>
      <c r="J92" s="62">
        <f t="shared" si="8"/>
        <v>-55.382799999999989</v>
      </c>
      <c r="K92" s="61">
        <f t="shared" si="9"/>
        <v>-4.0066777963272071E-2</v>
      </c>
      <c r="L92">
        <f t="shared" si="13"/>
        <v>1.2650000000000001</v>
      </c>
      <c r="M92" s="62">
        <f t="shared" si="10"/>
        <v>-13.845699999999997</v>
      </c>
      <c r="N92" s="62">
        <f t="shared" si="11"/>
        <v>-41.537099999999995</v>
      </c>
    </row>
    <row r="93" spans="1:14" x14ac:dyDescent="0.2">
      <c r="A93" t="s">
        <v>145</v>
      </c>
      <c r="B93">
        <v>611012</v>
      </c>
      <c r="C93" s="60">
        <v>42499</v>
      </c>
      <c r="D93">
        <v>165.9</v>
      </c>
      <c r="E93">
        <v>9041</v>
      </c>
      <c r="F93">
        <f t="shared" si="12"/>
        <v>15014.018019000001</v>
      </c>
      <c r="H93">
        <v>115.9</v>
      </c>
      <c r="I93">
        <f t="shared" si="7"/>
        <v>10478.519</v>
      </c>
      <c r="J93" s="62">
        <f t="shared" si="8"/>
        <v>-4545.977538000001</v>
      </c>
      <c r="K93" s="61">
        <f t="shared" si="9"/>
        <v>-0.30138637733574436</v>
      </c>
      <c r="L93">
        <f t="shared" si="13"/>
        <v>10.478519</v>
      </c>
      <c r="M93" s="62">
        <f t="shared" si="10"/>
        <v>-1136.4943845000003</v>
      </c>
      <c r="N93" s="62">
        <f t="shared" si="11"/>
        <v>-3409.4831535000008</v>
      </c>
    </row>
    <row r="94" spans="1:14" x14ac:dyDescent="0.2">
      <c r="A94" s="64" t="s">
        <v>370</v>
      </c>
      <c r="B94">
        <v>1121730</v>
      </c>
      <c r="C94" s="60">
        <v>42512</v>
      </c>
      <c r="D94">
        <v>577.5</v>
      </c>
      <c r="E94">
        <v>2595</v>
      </c>
      <c r="F94">
        <f t="shared" si="12"/>
        <v>15001.111124999998</v>
      </c>
      <c r="H94">
        <v>575</v>
      </c>
      <c r="I94">
        <f t="shared" si="7"/>
        <v>14921.25</v>
      </c>
      <c r="J94" s="62">
        <f t="shared" si="8"/>
        <v>-94.782374999997629</v>
      </c>
      <c r="K94" s="61">
        <f t="shared" si="9"/>
        <v>-4.3290043290042934E-3</v>
      </c>
      <c r="L94">
        <f t="shared" si="13"/>
        <v>14.921250000000001</v>
      </c>
      <c r="M94" s="62">
        <f t="shared" si="10"/>
        <v>-23.695593749999407</v>
      </c>
      <c r="N94" s="62">
        <f t="shared" si="11"/>
        <v>-71.086781249998225</v>
      </c>
    </row>
    <row r="95" spans="1:14" x14ac:dyDescent="0.2">
      <c r="A95" t="s">
        <v>189</v>
      </c>
      <c r="B95">
        <v>765016</v>
      </c>
      <c r="C95" s="60">
        <v>42514</v>
      </c>
      <c r="D95">
        <v>91.4</v>
      </c>
      <c r="E95">
        <v>10928</v>
      </c>
      <c r="F95">
        <f t="shared" si="12"/>
        <v>9998.1801919999998</v>
      </c>
      <c r="H95">
        <v>72.5</v>
      </c>
      <c r="I95">
        <f t="shared" si="7"/>
        <v>7922.8</v>
      </c>
      <c r="J95" s="62">
        <f t="shared" si="8"/>
        <v>-2083.3029919999994</v>
      </c>
      <c r="K95" s="61">
        <f t="shared" si="9"/>
        <v>-0.20678336980306355</v>
      </c>
      <c r="L95">
        <f t="shared" si="13"/>
        <v>7.9228000000000005</v>
      </c>
      <c r="M95" s="62">
        <f t="shared" si="10"/>
        <v>-520.82574799999986</v>
      </c>
      <c r="N95" s="62">
        <f t="shared" si="11"/>
        <v>-1562.4772439999997</v>
      </c>
    </row>
    <row r="96" spans="1:14" x14ac:dyDescent="0.2">
      <c r="A96" s="64" t="s">
        <v>370</v>
      </c>
      <c r="B96">
        <v>1121730</v>
      </c>
      <c r="C96" s="60">
        <v>42526</v>
      </c>
      <c r="D96">
        <v>601.4</v>
      </c>
      <c r="E96">
        <v>499</v>
      </c>
      <c r="F96">
        <f t="shared" si="12"/>
        <v>3003.9869859999994</v>
      </c>
      <c r="H96">
        <v>575</v>
      </c>
      <c r="I96">
        <f t="shared" si="7"/>
        <v>2869.25</v>
      </c>
      <c r="J96" s="62">
        <f t="shared" si="8"/>
        <v>-137.60623599999943</v>
      </c>
      <c r="K96" s="61">
        <f t="shared" si="9"/>
        <v>-4.3897572331227153E-2</v>
      </c>
      <c r="L96">
        <f t="shared" si="13"/>
        <v>2.8692500000000001</v>
      </c>
      <c r="M96" s="62">
        <f t="shared" si="10"/>
        <v>-34.401558999999857</v>
      </c>
      <c r="N96" s="62">
        <f t="shared" si="11"/>
        <v>-103.20467699999958</v>
      </c>
    </row>
    <row r="97" spans="1:14" x14ac:dyDescent="0.2">
      <c r="A97" t="s">
        <v>151</v>
      </c>
      <c r="B97">
        <v>629014</v>
      </c>
      <c r="C97" s="60">
        <v>42528</v>
      </c>
      <c r="D97">
        <v>20910</v>
      </c>
      <c r="E97">
        <v>47</v>
      </c>
      <c r="F97">
        <f t="shared" si="12"/>
        <v>9837.5276999999987</v>
      </c>
      <c r="H97">
        <v>16610</v>
      </c>
      <c r="I97">
        <f t="shared" si="7"/>
        <v>7806.7</v>
      </c>
      <c r="J97" s="62">
        <f t="shared" si="8"/>
        <v>-2038.634399999999</v>
      </c>
      <c r="K97" s="61">
        <f t="shared" si="9"/>
        <v>-0.20564323290291731</v>
      </c>
      <c r="L97">
        <f t="shared" si="13"/>
        <v>7.8067000000000002</v>
      </c>
      <c r="M97" s="62">
        <f t="shared" si="10"/>
        <v>-509.65859999999975</v>
      </c>
      <c r="N97" s="62">
        <f t="shared" si="11"/>
        <v>-1528.9757999999993</v>
      </c>
    </row>
    <row r="98" spans="1:14" x14ac:dyDescent="0.2">
      <c r="A98" t="s">
        <v>189</v>
      </c>
      <c r="B98">
        <v>765016</v>
      </c>
      <c r="C98" s="60">
        <v>42540</v>
      </c>
      <c r="D98">
        <v>79.8</v>
      </c>
      <c r="E98">
        <v>6250</v>
      </c>
      <c r="F98">
        <f t="shared" si="12"/>
        <v>4992.4874999999993</v>
      </c>
      <c r="H98">
        <v>72.5</v>
      </c>
      <c r="I98">
        <f t="shared" si="7"/>
        <v>4531.25</v>
      </c>
      <c r="J98" s="62">
        <f t="shared" si="8"/>
        <v>-465.76874999999927</v>
      </c>
      <c r="K98" s="61">
        <f t="shared" si="9"/>
        <v>-9.1478696741854604E-2</v>
      </c>
      <c r="L98">
        <f t="shared" si="13"/>
        <v>4.53125</v>
      </c>
      <c r="M98" s="62">
        <f t="shared" si="10"/>
        <v>-116.44218749999982</v>
      </c>
      <c r="N98" s="62">
        <f t="shared" si="11"/>
        <v>-349.32656249999945</v>
      </c>
    </row>
    <row r="99" spans="1:14" x14ac:dyDescent="0.2">
      <c r="A99" t="s">
        <v>189</v>
      </c>
      <c r="B99">
        <v>765016</v>
      </c>
      <c r="C99" s="60">
        <v>42540</v>
      </c>
      <c r="D99">
        <v>79.2</v>
      </c>
      <c r="E99">
        <v>6281</v>
      </c>
      <c r="F99">
        <f t="shared" si="12"/>
        <v>4979.5265519999994</v>
      </c>
      <c r="H99">
        <v>72.5</v>
      </c>
      <c r="I99">
        <f t="shared" si="7"/>
        <v>4553.7250000000004</v>
      </c>
      <c r="J99" s="62">
        <f t="shared" si="8"/>
        <v>-430.35527699999898</v>
      </c>
      <c r="K99" s="61">
        <f t="shared" si="9"/>
        <v>-8.4595959595959669E-2</v>
      </c>
      <c r="L99">
        <f t="shared" si="13"/>
        <v>4.553725</v>
      </c>
      <c r="M99" s="62">
        <f t="shared" si="10"/>
        <v>-107.58881924999974</v>
      </c>
      <c r="N99" s="62">
        <f t="shared" si="11"/>
        <v>-322.76645774999923</v>
      </c>
    </row>
    <row r="100" spans="1:14" x14ac:dyDescent="0.2">
      <c r="A100" t="s">
        <v>189</v>
      </c>
      <c r="B100">
        <v>765016</v>
      </c>
      <c r="C100" s="60">
        <v>42549</v>
      </c>
      <c r="D100">
        <v>77</v>
      </c>
      <c r="E100">
        <v>6459</v>
      </c>
      <c r="F100">
        <f t="shared" si="12"/>
        <v>4978.4034299999994</v>
      </c>
      <c r="H100">
        <v>72.5</v>
      </c>
      <c r="I100">
        <f t="shared" si="7"/>
        <v>4682.7749999999996</v>
      </c>
      <c r="J100" s="62">
        <f t="shared" si="8"/>
        <v>-300.31120499999975</v>
      </c>
      <c r="K100" s="61">
        <f t="shared" si="9"/>
        <v>-5.8441558441558406E-2</v>
      </c>
      <c r="L100">
        <f t="shared" si="13"/>
        <v>4.6827749999999995</v>
      </c>
      <c r="M100" s="62">
        <f t="shared" si="10"/>
        <v>-75.077801249999936</v>
      </c>
      <c r="N100" s="62">
        <f t="shared" si="11"/>
        <v>-225.23340374999981</v>
      </c>
    </row>
    <row r="101" spans="1:14" x14ac:dyDescent="0.2">
      <c r="A101" t="s">
        <v>399</v>
      </c>
      <c r="B101">
        <v>1136639</v>
      </c>
      <c r="C101" s="60">
        <v>42551</v>
      </c>
      <c r="D101">
        <v>436.5</v>
      </c>
      <c r="E101">
        <v>2284</v>
      </c>
      <c r="F101">
        <f t="shared" si="12"/>
        <v>9979.6296599999987</v>
      </c>
      <c r="H101">
        <v>180.1</v>
      </c>
      <c r="I101">
        <f t="shared" si="7"/>
        <v>4113.4839999999995</v>
      </c>
      <c r="J101" s="62">
        <f t="shared" si="8"/>
        <v>-5870.2591439999997</v>
      </c>
      <c r="K101" s="61">
        <f t="shared" si="9"/>
        <v>-0.58739977090492557</v>
      </c>
      <c r="L101">
        <f t="shared" si="13"/>
        <v>4.1134839999999997</v>
      </c>
      <c r="M101" s="62">
        <f t="shared" si="10"/>
        <v>-1467.5647859999999</v>
      </c>
      <c r="N101" s="62">
        <f t="shared" si="11"/>
        <v>-4402.6943579999997</v>
      </c>
    </row>
    <row r="102" spans="1:14" x14ac:dyDescent="0.2">
      <c r="A102" s="64" t="s">
        <v>453</v>
      </c>
      <c r="B102">
        <v>1105832</v>
      </c>
      <c r="C102" s="60">
        <v>42556</v>
      </c>
      <c r="D102">
        <v>81.400000000000006</v>
      </c>
      <c r="E102">
        <v>12285</v>
      </c>
      <c r="F102">
        <f t="shared" si="12"/>
        <v>10009.98999</v>
      </c>
      <c r="H102" s="56">
        <v>0</v>
      </c>
      <c r="I102">
        <f t="shared" si="7"/>
        <v>0</v>
      </c>
      <c r="J102" s="62">
        <f t="shared" si="8"/>
        <v>-10009.98999</v>
      </c>
      <c r="K102" s="61">
        <f t="shared" si="9"/>
        <v>-1</v>
      </c>
      <c r="L102">
        <f t="shared" si="13"/>
        <v>0</v>
      </c>
      <c r="M102" s="62">
        <f t="shared" si="10"/>
        <v>-2502.4974975</v>
      </c>
      <c r="N102" s="62">
        <f t="shared" si="11"/>
        <v>-7507.4924924999996</v>
      </c>
    </row>
    <row r="103" spans="1:14" x14ac:dyDescent="0.2">
      <c r="A103" t="s">
        <v>399</v>
      </c>
      <c r="B103">
        <v>1136639</v>
      </c>
      <c r="C103" s="60">
        <v>42558</v>
      </c>
      <c r="D103">
        <v>433</v>
      </c>
      <c r="E103">
        <v>2335</v>
      </c>
      <c r="F103">
        <f t="shared" si="12"/>
        <v>10120.660549999999</v>
      </c>
      <c r="H103">
        <v>180.1</v>
      </c>
      <c r="I103">
        <f t="shared" si="7"/>
        <v>4205.335</v>
      </c>
      <c r="J103" s="62">
        <f t="shared" si="8"/>
        <v>-5919.5308849999983</v>
      </c>
      <c r="K103" s="61">
        <f t="shared" si="9"/>
        <v>-0.58406466512702082</v>
      </c>
      <c r="L103">
        <f t="shared" si="13"/>
        <v>4.2053349999999998</v>
      </c>
      <c r="M103" s="62">
        <f t="shared" si="10"/>
        <v>-1479.8827212499996</v>
      </c>
      <c r="N103" s="62">
        <f t="shared" si="11"/>
        <v>-4439.6481637499983</v>
      </c>
    </row>
    <row r="104" spans="1:14" x14ac:dyDescent="0.2">
      <c r="A104" t="s">
        <v>454</v>
      </c>
      <c r="B104">
        <v>1129824</v>
      </c>
      <c r="C104" s="60">
        <v>42565</v>
      </c>
      <c r="D104">
        <v>1448</v>
      </c>
      <c r="E104">
        <v>690</v>
      </c>
      <c r="F104">
        <f t="shared" si="12"/>
        <v>10001.191199999999</v>
      </c>
      <c r="H104" s="56">
        <v>0</v>
      </c>
      <c r="I104">
        <f t="shared" si="7"/>
        <v>0</v>
      </c>
      <c r="J104" s="62">
        <f t="shared" si="8"/>
        <v>-10001.191199999999</v>
      </c>
      <c r="K104" s="61">
        <f t="shared" si="9"/>
        <v>-1</v>
      </c>
      <c r="L104">
        <f t="shared" si="13"/>
        <v>0</v>
      </c>
      <c r="M104" s="62">
        <f t="shared" si="10"/>
        <v>-2500.2977999999998</v>
      </c>
      <c r="N104" s="62">
        <f t="shared" si="11"/>
        <v>-7500.893399999999</v>
      </c>
    </row>
    <row r="105" spans="1:14" x14ac:dyDescent="0.2">
      <c r="A105" t="s">
        <v>454</v>
      </c>
      <c r="B105">
        <v>1129824</v>
      </c>
      <c r="C105" s="60">
        <v>42572</v>
      </c>
      <c r="D105">
        <v>1384</v>
      </c>
      <c r="E105">
        <v>720</v>
      </c>
      <c r="F105">
        <f t="shared" si="12"/>
        <v>9974.764799999999</v>
      </c>
      <c r="H105" s="56">
        <v>0</v>
      </c>
      <c r="I105">
        <f t="shared" si="7"/>
        <v>0</v>
      </c>
      <c r="J105" s="62">
        <f t="shared" si="8"/>
        <v>-9974.764799999999</v>
      </c>
      <c r="K105" s="61">
        <f t="shared" si="9"/>
        <v>-1</v>
      </c>
      <c r="L105">
        <f t="shared" si="13"/>
        <v>0</v>
      </c>
      <c r="M105" s="62">
        <f t="shared" si="10"/>
        <v>-2493.6911999999998</v>
      </c>
      <c r="N105" s="62">
        <f t="shared" si="11"/>
        <v>-7481.0735999999997</v>
      </c>
    </row>
    <row r="106" spans="1:14" x14ac:dyDescent="0.2">
      <c r="A106" t="s">
        <v>455</v>
      </c>
      <c r="B106">
        <v>1129816</v>
      </c>
      <c r="C106" s="60">
        <v>42572</v>
      </c>
      <c r="D106">
        <v>749</v>
      </c>
      <c r="E106">
        <v>1335</v>
      </c>
      <c r="F106">
        <f t="shared" si="12"/>
        <v>10009.149149999999</v>
      </c>
      <c r="H106" s="56">
        <v>0</v>
      </c>
      <c r="I106">
        <f t="shared" si="7"/>
        <v>0</v>
      </c>
      <c r="J106" s="62">
        <f t="shared" si="8"/>
        <v>-10009.149149999999</v>
      </c>
      <c r="K106" s="61">
        <f t="shared" si="9"/>
        <v>-1</v>
      </c>
      <c r="L106">
        <f t="shared" si="13"/>
        <v>0</v>
      </c>
      <c r="M106" s="62">
        <f t="shared" si="10"/>
        <v>-2502.2872874999998</v>
      </c>
      <c r="N106" s="62">
        <f t="shared" si="11"/>
        <v>-7506.8618624999999</v>
      </c>
    </row>
    <row r="107" spans="1:14" x14ac:dyDescent="0.2">
      <c r="A107" t="s">
        <v>366</v>
      </c>
      <c r="B107">
        <v>1120609</v>
      </c>
      <c r="C107" s="60">
        <v>42575</v>
      </c>
      <c r="D107">
        <v>247.4</v>
      </c>
      <c r="E107">
        <v>3982</v>
      </c>
      <c r="F107">
        <f t="shared" si="12"/>
        <v>9861.3194679999997</v>
      </c>
      <c r="H107">
        <v>194.4</v>
      </c>
      <c r="I107">
        <f t="shared" si="7"/>
        <v>7741.0080000000007</v>
      </c>
      <c r="J107" s="62">
        <f t="shared" si="8"/>
        <v>-2128.0524759999989</v>
      </c>
      <c r="K107" s="61">
        <f t="shared" si="9"/>
        <v>-0.21422797089733225</v>
      </c>
      <c r="L107">
        <f t="shared" si="13"/>
        <v>7.7410080000000008</v>
      </c>
      <c r="M107" s="62">
        <f t="shared" si="10"/>
        <v>-532.01311899999973</v>
      </c>
      <c r="N107" s="62">
        <f t="shared" si="11"/>
        <v>-1596.0393569999992</v>
      </c>
    </row>
    <row r="108" spans="1:14" x14ac:dyDescent="0.2">
      <c r="A108" s="64" t="s">
        <v>114</v>
      </c>
      <c r="B108">
        <v>485011</v>
      </c>
      <c r="C108" s="60">
        <v>42578</v>
      </c>
      <c r="D108">
        <v>67.599999999999994</v>
      </c>
      <c r="E108">
        <v>7352</v>
      </c>
      <c r="F108">
        <f t="shared" si="12"/>
        <v>4974.9219519999988</v>
      </c>
      <c r="H108">
        <v>63.9</v>
      </c>
      <c r="I108">
        <f t="shared" si="7"/>
        <v>4697.9279999999999</v>
      </c>
      <c r="J108" s="62">
        <f t="shared" si="8"/>
        <v>-281.69187999999889</v>
      </c>
      <c r="K108" s="61">
        <f t="shared" si="9"/>
        <v>-5.4733727810650779E-2</v>
      </c>
      <c r="L108">
        <f t="shared" si="13"/>
        <v>4.6979280000000001</v>
      </c>
      <c r="M108" s="62">
        <f t="shared" si="10"/>
        <v>-70.422969999999722</v>
      </c>
      <c r="N108" s="62">
        <f t="shared" si="11"/>
        <v>-211.26890999999915</v>
      </c>
    </row>
    <row r="109" spans="1:14" x14ac:dyDescent="0.2">
      <c r="A109" t="s">
        <v>454</v>
      </c>
      <c r="B109">
        <v>1129824</v>
      </c>
      <c r="C109" s="60">
        <v>42583</v>
      </c>
      <c r="D109">
        <v>1325</v>
      </c>
      <c r="E109">
        <v>780</v>
      </c>
      <c r="F109">
        <f t="shared" si="12"/>
        <v>10345.334999999999</v>
      </c>
      <c r="H109" s="56">
        <v>0</v>
      </c>
      <c r="I109">
        <f t="shared" si="7"/>
        <v>0</v>
      </c>
      <c r="J109" s="62">
        <f t="shared" si="8"/>
        <v>-10345.334999999999</v>
      </c>
      <c r="K109" s="61">
        <f t="shared" si="9"/>
        <v>-1</v>
      </c>
      <c r="L109">
        <f t="shared" si="13"/>
        <v>0</v>
      </c>
      <c r="M109" s="62">
        <f t="shared" si="10"/>
        <v>-2586.3337499999998</v>
      </c>
      <c r="N109" s="62">
        <f t="shared" si="11"/>
        <v>-7759.0012499999993</v>
      </c>
    </row>
    <row r="110" spans="1:14" x14ac:dyDescent="0.2">
      <c r="A110" s="64" t="s">
        <v>370</v>
      </c>
      <c r="B110">
        <v>1121730</v>
      </c>
      <c r="C110" s="60">
        <v>42584</v>
      </c>
      <c r="D110">
        <v>627.20000000000005</v>
      </c>
      <c r="E110">
        <v>1591</v>
      </c>
      <c r="F110">
        <f t="shared" si="12"/>
        <v>9988.7307519999995</v>
      </c>
      <c r="H110">
        <v>575</v>
      </c>
      <c r="I110">
        <f t="shared" si="7"/>
        <v>9148.25</v>
      </c>
      <c r="J110" s="62">
        <f t="shared" si="8"/>
        <v>-849.62900199999945</v>
      </c>
      <c r="K110" s="61">
        <f t="shared" si="9"/>
        <v>-8.3227040816326592E-2</v>
      </c>
      <c r="L110">
        <f t="shared" si="13"/>
        <v>9.1482500000000009</v>
      </c>
      <c r="M110" s="62">
        <f t="shared" si="10"/>
        <v>-212.40725049999986</v>
      </c>
      <c r="N110" s="62">
        <f t="shared" si="11"/>
        <v>-637.22175149999953</v>
      </c>
    </row>
    <row r="111" spans="1:14" x14ac:dyDescent="0.2">
      <c r="A111" s="64" t="s">
        <v>39</v>
      </c>
      <c r="B111">
        <v>241018</v>
      </c>
      <c r="C111" s="60">
        <v>42585</v>
      </c>
      <c r="D111">
        <v>99.2</v>
      </c>
      <c r="E111">
        <v>5020</v>
      </c>
      <c r="F111">
        <f t="shared" si="12"/>
        <v>4984.8198399999992</v>
      </c>
      <c r="H111" s="57">
        <v>79.3</v>
      </c>
      <c r="I111">
        <f t="shared" si="7"/>
        <v>3980.86</v>
      </c>
      <c r="J111" s="62">
        <f t="shared" si="8"/>
        <v>-1007.9406999999991</v>
      </c>
      <c r="K111" s="61">
        <f t="shared" si="9"/>
        <v>-0.20060483870967749</v>
      </c>
      <c r="L111">
        <f t="shared" si="13"/>
        <v>3.9808600000000003</v>
      </c>
      <c r="M111" s="62">
        <f t="shared" si="10"/>
        <v>-251.98517499999977</v>
      </c>
      <c r="N111" s="62">
        <f t="shared" si="11"/>
        <v>-755.95552499999928</v>
      </c>
    </row>
    <row r="112" spans="1:14" x14ac:dyDescent="0.2">
      <c r="A112" t="s">
        <v>454</v>
      </c>
      <c r="B112">
        <v>1129824</v>
      </c>
      <c r="C112" s="60">
        <v>42590</v>
      </c>
      <c r="D112">
        <v>1265</v>
      </c>
      <c r="E112">
        <v>790</v>
      </c>
      <c r="F112">
        <f t="shared" si="12"/>
        <v>10003.493499999999</v>
      </c>
      <c r="H112" s="56">
        <v>0</v>
      </c>
      <c r="I112">
        <f t="shared" si="7"/>
        <v>0</v>
      </c>
      <c r="J112" s="62">
        <f t="shared" si="8"/>
        <v>-10003.493499999999</v>
      </c>
      <c r="K112" s="61">
        <f t="shared" si="9"/>
        <v>-1</v>
      </c>
      <c r="L112">
        <f t="shared" si="13"/>
        <v>0</v>
      </c>
      <c r="M112" s="62">
        <f t="shared" si="10"/>
        <v>-2500.8733749999997</v>
      </c>
      <c r="N112" s="62">
        <f t="shared" si="11"/>
        <v>-7502.6201249999995</v>
      </c>
    </row>
    <row r="113" spans="1:14" x14ac:dyDescent="0.2">
      <c r="A113" t="s">
        <v>455</v>
      </c>
      <c r="B113">
        <v>1129816</v>
      </c>
      <c r="C113" s="60">
        <v>42591</v>
      </c>
      <c r="D113">
        <v>675</v>
      </c>
      <c r="E113">
        <v>1474</v>
      </c>
      <c r="F113">
        <f t="shared" si="12"/>
        <v>9959.4494999999988</v>
      </c>
      <c r="H113" s="56">
        <v>0</v>
      </c>
      <c r="I113">
        <f t="shared" si="7"/>
        <v>0</v>
      </c>
      <c r="J113" s="62">
        <f t="shared" si="8"/>
        <v>-9959.4494999999988</v>
      </c>
      <c r="K113" s="61">
        <f t="shared" si="9"/>
        <v>-1</v>
      </c>
      <c r="L113">
        <f t="shared" si="13"/>
        <v>0</v>
      </c>
      <c r="M113" s="62">
        <f t="shared" si="10"/>
        <v>-2489.8623749999997</v>
      </c>
      <c r="N113" s="62">
        <f t="shared" si="11"/>
        <v>-7469.5871249999991</v>
      </c>
    </row>
    <row r="114" spans="1:14" x14ac:dyDescent="0.2">
      <c r="A114" t="s">
        <v>345</v>
      </c>
      <c r="B114">
        <v>1105055</v>
      </c>
      <c r="C114" s="60">
        <v>42593</v>
      </c>
      <c r="D114">
        <v>2635</v>
      </c>
      <c r="E114">
        <v>379</v>
      </c>
      <c r="F114">
        <f t="shared" si="12"/>
        <v>9996.6366499999986</v>
      </c>
      <c r="H114" s="57">
        <v>2369</v>
      </c>
      <c r="I114">
        <f t="shared" si="7"/>
        <v>8978.51</v>
      </c>
      <c r="J114" s="62">
        <f t="shared" si="8"/>
        <v>-1027.1051599999982</v>
      </c>
      <c r="K114" s="61">
        <f t="shared" si="9"/>
        <v>-0.10094876660341556</v>
      </c>
      <c r="L114">
        <f t="shared" si="13"/>
        <v>8.97851</v>
      </c>
      <c r="M114" s="62">
        <f t="shared" si="10"/>
        <v>-256.77628999999956</v>
      </c>
      <c r="N114" s="62">
        <f t="shared" si="11"/>
        <v>-770.32886999999869</v>
      </c>
    </row>
    <row r="115" spans="1:14" x14ac:dyDescent="0.2">
      <c r="A115" t="s">
        <v>322</v>
      </c>
      <c r="B115">
        <v>1101518</v>
      </c>
      <c r="C115" s="60">
        <v>42600</v>
      </c>
      <c r="D115">
        <v>352.1</v>
      </c>
      <c r="E115">
        <v>1418</v>
      </c>
      <c r="F115">
        <f t="shared" si="12"/>
        <v>4997.7707780000001</v>
      </c>
      <c r="H115">
        <v>403.1</v>
      </c>
      <c r="I115">
        <f t="shared" si="7"/>
        <v>5715.9580000000005</v>
      </c>
      <c r="J115" s="62">
        <f t="shared" si="8"/>
        <v>712.47126400000047</v>
      </c>
      <c r="K115" s="61">
        <f t="shared" si="9"/>
        <v>0.14484521442771947</v>
      </c>
      <c r="L115">
        <f t="shared" si="13"/>
        <v>5.7159580000000005</v>
      </c>
      <c r="M115" s="62">
        <f t="shared" si="10"/>
        <v>178.11781600000012</v>
      </c>
      <c r="N115" s="62">
        <f t="shared" si="11"/>
        <v>534.3534480000003</v>
      </c>
    </row>
    <row r="116" spans="1:14" x14ac:dyDescent="0.2">
      <c r="A116" s="64" t="s">
        <v>264</v>
      </c>
      <c r="B116">
        <v>1090117</v>
      </c>
      <c r="C116" s="60">
        <v>42600</v>
      </c>
      <c r="D116">
        <v>1571</v>
      </c>
      <c r="E116">
        <v>634</v>
      </c>
      <c r="F116">
        <f t="shared" si="12"/>
        <v>9970.1001399999986</v>
      </c>
      <c r="H116">
        <v>1299</v>
      </c>
      <c r="I116">
        <f t="shared" si="7"/>
        <v>8235.66</v>
      </c>
      <c r="J116" s="62">
        <f t="shared" si="8"/>
        <v>-1742.6757999999988</v>
      </c>
      <c r="K116" s="61">
        <f t="shared" si="9"/>
        <v>-0.17313812858052191</v>
      </c>
      <c r="L116">
        <f t="shared" si="13"/>
        <v>8.2356599999999993</v>
      </c>
      <c r="M116" s="62">
        <f t="shared" si="10"/>
        <v>-435.66894999999971</v>
      </c>
      <c r="N116" s="62">
        <f t="shared" si="11"/>
        <v>-1307.0068499999991</v>
      </c>
    </row>
    <row r="117" spans="1:14" x14ac:dyDescent="0.2">
      <c r="A117" s="64" t="s">
        <v>315</v>
      </c>
      <c r="B117">
        <v>1099654</v>
      </c>
      <c r="C117" s="60">
        <v>42605</v>
      </c>
      <c r="D117">
        <v>2056</v>
      </c>
      <c r="E117">
        <v>477</v>
      </c>
      <c r="F117">
        <f t="shared" si="12"/>
        <v>9816.9271200000003</v>
      </c>
      <c r="H117">
        <v>2034</v>
      </c>
      <c r="I117">
        <f t="shared" si="7"/>
        <v>9702.18</v>
      </c>
      <c r="J117" s="62">
        <f t="shared" si="8"/>
        <v>-124.44929999999999</v>
      </c>
      <c r="K117" s="61">
        <f t="shared" si="9"/>
        <v>-1.0700389105058328E-2</v>
      </c>
      <c r="L117">
        <f t="shared" si="13"/>
        <v>9.7021800000000002</v>
      </c>
      <c r="M117" s="62">
        <f t="shared" si="10"/>
        <v>-31.112324999999998</v>
      </c>
      <c r="N117" s="62">
        <f t="shared" si="11"/>
        <v>-93.336974999999995</v>
      </c>
    </row>
    <row r="118" spans="1:14" x14ac:dyDescent="0.2">
      <c r="A118" t="s">
        <v>400</v>
      </c>
      <c r="B118">
        <v>1136704</v>
      </c>
      <c r="C118" s="60">
        <v>42611</v>
      </c>
      <c r="D118">
        <v>16230</v>
      </c>
      <c r="E118">
        <v>61</v>
      </c>
      <c r="F118">
        <f t="shared" si="12"/>
        <v>9910.2002999999986</v>
      </c>
      <c r="H118">
        <v>14410</v>
      </c>
      <c r="I118">
        <f t="shared" si="7"/>
        <v>8790.1</v>
      </c>
      <c r="J118" s="62">
        <f t="shared" si="8"/>
        <v>-1128.8903999999982</v>
      </c>
      <c r="K118" s="61">
        <f t="shared" si="9"/>
        <v>-0.11213801601971662</v>
      </c>
      <c r="L118">
        <f t="shared" si="13"/>
        <v>8.7901000000000007</v>
      </c>
      <c r="M118" s="62">
        <f t="shared" si="10"/>
        <v>-282.22259999999955</v>
      </c>
      <c r="N118" s="62">
        <f t="shared" si="11"/>
        <v>-846.66779999999858</v>
      </c>
    </row>
    <row r="119" spans="1:14" x14ac:dyDescent="0.2">
      <c r="A119" s="64" t="s">
        <v>39</v>
      </c>
      <c r="B119">
        <v>241018</v>
      </c>
      <c r="C119" s="60">
        <v>42614</v>
      </c>
      <c r="D119">
        <v>87</v>
      </c>
      <c r="E119">
        <v>5747</v>
      </c>
      <c r="F119">
        <f t="shared" si="12"/>
        <v>5004.8898899999995</v>
      </c>
      <c r="H119" s="57">
        <v>79.3</v>
      </c>
      <c r="I119">
        <f t="shared" si="7"/>
        <v>4557.3710000000001</v>
      </c>
      <c r="J119" s="62">
        <f t="shared" si="8"/>
        <v>-452.07626099999936</v>
      </c>
      <c r="K119" s="61">
        <f t="shared" si="9"/>
        <v>-8.8505747126436773E-2</v>
      </c>
      <c r="L119">
        <f t="shared" si="13"/>
        <v>4.5573709999999998</v>
      </c>
      <c r="M119" s="62">
        <f t="shared" si="10"/>
        <v>-113.01906524999984</v>
      </c>
      <c r="N119" s="62">
        <f t="shared" si="11"/>
        <v>-339.05719574999955</v>
      </c>
    </row>
    <row r="120" spans="1:14" x14ac:dyDescent="0.2">
      <c r="A120" s="64" t="s">
        <v>35</v>
      </c>
      <c r="B120">
        <v>230011</v>
      </c>
      <c r="C120" s="60">
        <v>42614</v>
      </c>
      <c r="D120">
        <v>761.5</v>
      </c>
      <c r="E120">
        <v>660</v>
      </c>
      <c r="F120">
        <f t="shared" si="12"/>
        <v>5030.9258999999993</v>
      </c>
      <c r="H120">
        <v>708</v>
      </c>
      <c r="I120">
        <f t="shared" si="7"/>
        <v>4672.8</v>
      </c>
      <c r="J120" s="62">
        <f t="shared" si="8"/>
        <v>-362.79869999999909</v>
      </c>
      <c r="K120" s="61">
        <f t="shared" si="9"/>
        <v>-7.0256073539067598E-2</v>
      </c>
      <c r="L120">
        <f t="shared" si="13"/>
        <v>4.6728000000000005</v>
      </c>
      <c r="M120" s="62">
        <f t="shared" si="10"/>
        <v>-90.699674999999772</v>
      </c>
      <c r="N120" s="62">
        <f t="shared" si="11"/>
        <v>-272.0990249999993</v>
      </c>
    </row>
    <row r="121" spans="1:14" x14ac:dyDescent="0.2">
      <c r="A121" t="s">
        <v>386</v>
      </c>
      <c r="B121">
        <v>1130699</v>
      </c>
      <c r="C121" s="60">
        <v>42620</v>
      </c>
      <c r="D121">
        <v>34550</v>
      </c>
      <c r="E121">
        <v>15</v>
      </c>
      <c r="F121">
        <f t="shared" si="12"/>
        <v>5187.682499999999</v>
      </c>
      <c r="H121" s="57">
        <v>34100</v>
      </c>
      <c r="I121">
        <f t="shared" si="7"/>
        <v>5115</v>
      </c>
      <c r="J121" s="62">
        <f t="shared" si="8"/>
        <v>-77.797499999998976</v>
      </c>
      <c r="K121" s="61">
        <f t="shared" si="9"/>
        <v>-1.3024602026049159E-2</v>
      </c>
      <c r="L121">
        <f t="shared" si="13"/>
        <v>5.1150000000000002</v>
      </c>
      <c r="M121" s="62">
        <f t="shared" si="10"/>
        <v>-19.449374999999744</v>
      </c>
      <c r="N121" s="62">
        <f t="shared" si="11"/>
        <v>-58.348124999999229</v>
      </c>
    </row>
    <row r="122" spans="1:14" x14ac:dyDescent="0.2">
      <c r="A122" s="64" t="s">
        <v>35</v>
      </c>
      <c r="B122">
        <v>230011</v>
      </c>
      <c r="C122" s="60">
        <v>42626</v>
      </c>
      <c r="D122">
        <v>733.3</v>
      </c>
      <c r="E122">
        <v>687</v>
      </c>
      <c r="F122">
        <f t="shared" si="12"/>
        <v>5042.8087709999991</v>
      </c>
      <c r="H122">
        <v>708</v>
      </c>
      <c r="I122">
        <f t="shared" si="7"/>
        <v>4863.96</v>
      </c>
      <c r="J122" s="62">
        <f t="shared" si="8"/>
        <v>-183.71273099999902</v>
      </c>
      <c r="K122" s="61">
        <f t="shared" si="9"/>
        <v>-3.4501568253102355E-2</v>
      </c>
      <c r="L122">
        <f t="shared" si="13"/>
        <v>4.8639600000000005</v>
      </c>
      <c r="M122" s="62">
        <f t="shared" si="10"/>
        <v>-45.928182749999756</v>
      </c>
      <c r="N122" s="62">
        <f t="shared" si="11"/>
        <v>-137.78454824999926</v>
      </c>
    </row>
    <row r="123" spans="1:14" x14ac:dyDescent="0.2">
      <c r="A123" t="s">
        <v>117</v>
      </c>
      <c r="B123">
        <v>496018</v>
      </c>
      <c r="C123" s="60">
        <v>42627</v>
      </c>
      <c r="D123">
        <v>32</v>
      </c>
      <c r="E123">
        <v>15432</v>
      </c>
      <c r="F123">
        <f t="shared" si="12"/>
        <v>4943.1782399999993</v>
      </c>
      <c r="H123">
        <v>30.9</v>
      </c>
      <c r="I123">
        <f t="shared" si="7"/>
        <v>4768.4880000000003</v>
      </c>
      <c r="J123" s="62">
        <f t="shared" si="8"/>
        <v>-179.45872799999898</v>
      </c>
      <c r="K123" s="61">
        <f t="shared" si="9"/>
        <v>-3.4375000000000044E-2</v>
      </c>
      <c r="L123">
        <f t="shared" si="13"/>
        <v>4.7684880000000005</v>
      </c>
      <c r="M123" s="62">
        <f t="shared" si="10"/>
        <v>-44.864681999999746</v>
      </c>
      <c r="N123" s="62">
        <f t="shared" si="11"/>
        <v>-134.59404599999925</v>
      </c>
    </row>
    <row r="124" spans="1:14" x14ac:dyDescent="0.2">
      <c r="A124" s="65" t="s">
        <v>183</v>
      </c>
      <c r="B124">
        <v>751032</v>
      </c>
      <c r="C124" s="60">
        <v>42631</v>
      </c>
      <c r="D124">
        <v>605</v>
      </c>
      <c r="E124">
        <v>825</v>
      </c>
      <c r="F124">
        <f t="shared" si="12"/>
        <v>4996.2412499999991</v>
      </c>
      <c r="H124">
        <v>521.29999999999995</v>
      </c>
      <c r="I124">
        <f t="shared" si="7"/>
        <v>4300.7249999999995</v>
      </c>
      <c r="J124" s="62">
        <f t="shared" si="8"/>
        <v>-699.81697499999973</v>
      </c>
      <c r="K124" s="61">
        <f t="shared" si="9"/>
        <v>-0.13834710743801659</v>
      </c>
      <c r="L124">
        <f t="shared" si="13"/>
        <v>4.3007249999999999</v>
      </c>
      <c r="M124" s="62">
        <f t="shared" si="10"/>
        <v>-174.95424374999993</v>
      </c>
      <c r="N124" s="62">
        <f t="shared" si="11"/>
        <v>-524.8627312499998</v>
      </c>
    </row>
    <row r="125" spans="1:14" x14ac:dyDescent="0.2">
      <c r="A125" s="65" t="s">
        <v>286</v>
      </c>
      <c r="B125">
        <v>1094473</v>
      </c>
      <c r="C125" s="60">
        <v>42634</v>
      </c>
      <c r="D125">
        <v>478.5</v>
      </c>
      <c r="E125">
        <v>1038</v>
      </c>
      <c r="F125">
        <f t="shared" si="12"/>
        <v>4971.7968299999993</v>
      </c>
      <c r="H125" s="57">
        <v>459.6</v>
      </c>
      <c r="I125">
        <f t="shared" si="7"/>
        <v>4770.6480000000001</v>
      </c>
      <c r="J125" s="62">
        <f t="shared" si="8"/>
        <v>-205.91947799999917</v>
      </c>
      <c r="K125" s="61">
        <f t="shared" si="9"/>
        <v>-3.9498432601880795E-2</v>
      </c>
      <c r="L125">
        <f t="shared" si="13"/>
        <v>4.7706480000000004</v>
      </c>
      <c r="M125" s="62">
        <f t="shared" si="10"/>
        <v>-51.479869499999793</v>
      </c>
      <c r="N125" s="62">
        <f t="shared" si="11"/>
        <v>-154.43960849999939</v>
      </c>
    </row>
    <row r="126" spans="1:14" x14ac:dyDescent="0.2">
      <c r="A126" s="64" t="s">
        <v>39</v>
      </c>
      <c r="B126">
        <v>241018</v>
      </c>
      <c r="C126" s="60">
        <v>42638</v>
      </c>
      <c r="D126">
        <v>86.5</v>
      </c>
      <c r="E126">
        <v>5793</v>
      </c>
      <c r="F126">
        <f t="shared" si="12"/>
        <v>5015.9559449999997</v>
      </c>
      <c r="H126" s="57">
        <v>79.3</v>
      </c>
      <c r="I126">
        <f t="shared" si="7"/>
        <v>4593.8489999999993</v>
      </c>
      <c r="J126" s="62">
        <f t="shared" si="8"/>
        <v>-426.70079400000043</v>
      </c>
      <c r="K126" s="61">
        <f t="shared" si="9"/>
        <v>-8.3236994219653249E-2</v>
      </c>
      <c r="L126">
        <f t="shared" si="13"/>
        <v>4.5938489999999996</v>
      </c>
      <c r="M126" s="62">
        <f t="shared" si="10"/>
        <v>-106.67519850000011</v>
      </c>
      <c r="N126" s="62">
        <f t="shared" si="11"/>
        <v>-320.02559550000035</v>
      </c>
    </row>
    <row r="127" spans="1:14" x14ac:dyDescent="0.2">
      <c r="A127" s="65" t="s">
        <v>183</v>
      </c>
      <c r="B127">
        <v>751032</v>
      </c>
      <c r="C127" s="60">
        <v>42640</v>
      </c>
      <c r="D127">
        <v>526.1</v>
      </c>
      <c r="E127">
        <v>925</v>
      </c>
      <c r="F127">
        <f t="shared" si="12"/>
        <v>4871.2914249999994</v>
      </c>
      <c r="H127">
        <v>521.29999999999995</v>
      </c>
      <c r="I127">
        <f t="shared" si="7"/>
        <v>4822.0249999999996</v>
      </c>
      <c r="J127" s="62">
        <f t="shared" si="8"/>
        <v>-54.088449999999796</v>
      </c>
      <c r="K127" s="61">
        <f t="shared" si="9"/>
        <v>-9.1237407337009246E-3</v>
      </c>
      <c r="L127">
        <f t="shared" si="13"/>
        <v>4.822025</v>
      </c>
      <c r="M127" s="62">
        <f t="shared" si="10"/>
        <v>-13.522112499999949</v>
      </c>
      <c r="N127" s="62">
        <f t="shared" si="11"/>
        <v>-40.566337499999847</v>
      </c>
    </row>
    <row r="128" spans="1:14" x14ac:dyDescent="0.2">
      <c r="A128" s="64" t="s">
        <v>370</v>
      </c>
      <c r="B128">
        <v>1121730</v>
      </c>
      <c r="C128" s="60">
        <v>42649</v>
      </c>
      <c r="D128">
        <v>588.6</v>
      </c>
      <c r="E128">
        <v>847</v>
      </c>
      <c r="F128">
        <f t="shared" si="12"/>
        <v>4990.4274419999992</v>
      </c>
      <c r="H128">
        <v>575</v>
      </c>
      <c r="I128">
        <f t="shared" si="7"/>
        <v>4870.25</v>
      </c>
      <c r="J128" s="62">
        <f t="shared" si="8"/>
        <v>-125.04769199999924</v>
      </c>
      <c r="K128" s="61">
        <f t="shared" si="9"/>
        <v>-2.3105674481821326E-2</v>
      </c>
      <c r="L128">
        <f t="shared" si="13"/>
        <v>4.8702500000000004</v>
      </c>
      <c r="M128" s="62">
        <f t="shared" si="10"/>
        <v>-31.261922999999811</v>
      </c>
      <c r="N128" s="62">
        <f t="shared" si="11"/>
        <v>-93.785768999999434</v>
      </c>
    </row>
    <row r="129" spans="1:14" x14ac:dyDescent="0.2">
      <c r="A129" t="s">
        <v>345</v>
      </c>
      <c r="B129">
        <v>1105055</v>
      </c>
      <c r="C129" s="60">
        <v>42649</v>
      </c>
      <c r="D129">
        <v>2444</v>
      </c>
      <c r="E129">
        <v>204</v>
      </c>
      <c r="F129">
        <f t="shared" si="12"/>
        <v>4990.7457599999998</v>
      </c>
      <c r="H129" s="57">
        <v>2369</v>
      </c>
      <c r="I129">
        <f t="shared" si="7"/>
        <v>4832.76</v>
      </c>
      <c r="J129" s="62">
        <f t="shared" si="8"/>
        <v>-162.81851999999958</v>
      </c>
      <c r="K129" s="61">
        <f t="shared" si="9"/>
        <v>-3.0687397708674347E-2</v>
      </c>
      <c r="L129">
        <f t="shared" si="13"/>
        <v>4.8327600000000004</v>
      </c>
      <c r="M129" s="62">
        <f t="shared" si="10"/>
        <v>-40.704629999999895</v>
      </c>
      <c r="N129" s="62">
        <f t="shared" si="11"/>
        <v>-122.11388999999969</v>
      </c>
    </row>
    <row r="130" spans="1:14" x14ac:dyDescent="0.2">
      <c r="A130" t="s">
        <v>358</v>
      </c>
      <c r="B130">
        <v>1117795</v>
      </c>
      <c r="C130" s="60">
        <v>42649</v>
      </c>
      <c r="D130">
        <v>2055</v>
      </c>
      <c r="E130">
        <v>242</v>
      </c>
      <c r="F130">
        <f t="shared" si="12"/>
        <v>4978.0730999999996</v>
      </c>
      <c r="H130" s="57">
        <v>1989</v>
      </c>
      <c r="I130">
        <f t="shared" ref="I130:I135" si="14">+(H130*E130)/100</f>
        <v>4813.38</v>
      </c>
      <c r="J130" s="62">
        <f t="shared" ref="J130:J135" si="15">+I130-F130-L130</f>
        <v>-169.5064799999995</v>
      </c>
      <c r="K130" s="61">
        <f t="shared" ref="K130:K135" si="16">+(H130/D130-1)</f>
        <v>-3.2116788321167933E-2</v>
      </c>
      <c r="L130">
        <f>+I130*0.001</f>
        <v>4.8133800000000004</v>
      </c>
      <c r="M130" s="62">
        <f t="shared" ref="M130:M135" si="17">+J130*0.25</f>
        <v>-42.376619999999875</v>
      </c>
      <c r="N130" s="62">
        <f t="shared" ref="N130:N135" si="18">+J130-M130</f>
        <v>-127.12985999999962</v>
      </c>
    </row>
    <row r="131" spans="1:14" x14ac:dyDescent="0.2">
      <c r="A131" t="s">
        <v>88</v>
      </c>
      <c r="B131">
        <v>390013</v>
      </c>
      <c r="C131" s="60">
        <v>42652</v>
      </c>
      <c r="D131">
        <v>3305</v>
      </c>
      <c r="E131">
        <v>151</v>
      </c>
      <c r="F131">
        <f t="shared" si="12"/>
        <v>4995.5405499999997</v>
      </c>
      <c r="H131">
        <v>3310</v>
      </c>
      <c r="I131">
        <f t="shared" si="14"/>
        <v>4998.1000000000004</v>
      </c>
      <c r="J131" s="62">
        <f t="shared" si="15"/>
        <v>-2.4386499999993489</v>
      </c>
      <c r="K131" s="61">
        <f t="shared" si="16"/>
        <v>1.5128593040847349E-3</v>
      </c>
      <c r="L131">
        <f>+I131*0.001</f>
        <v>4.9981000000000009</v>
      </c>
      <c r="M131" s="62">
        <f t="shared" si="17"/>
        <v>-0.60966249999983724</v>
      </c>
      <c r="N131" s="62">
        <f t="shared" si="18"/>
        <v>-1.8289874999995117</v>
      </c>
    </row>
    <row r="132" spans="1:14" x14ac:dyDescent="0.2">
      <c r="A132" t="s">
        <v>189</v>
      </c>
      <c r="B132">
        <v>765016</v>
      </c>
      <c r="C132" s="60">
        <v>42652</v>
      </c>
      <c r="D132">
        <v>71.5</v>
      </c>
      <c r="E132">
        <v>7002</v>
      </c>
      <c r="F132">
        <f t="shared" ref="F132:F135" si="19">+((E132*D132)*1.001)/100</f>
        <v>5011.4364299999988</v>
      </c>
      <c r="H132">
        <v>72.5</v>
      </c>
      <c r="I132">
        <f t="shared" si="14"/>
        <v>5076.45</v>
      </c>
      <c r="J132" s="62">
        <f t="shared" si="15"/>
        <v>59.937120000000981</v>
      </c>
      <c r="K132" s="61">
        <f t="shared" si="16"/>
        <v>1.3986013986013957E-2</v>
      </c>
      <c r="L132">
        <f t="shared" ref="L132:L135" si="20">+I132*0.001</f>
        <v>5.0764500000000004</v>
      </c>
      <c r="M132" s="62">
        <f t="shared" si="17"/>
        <v>14.984280000000245</v>
      </c>
      <c r="N132" s="62">
        <f t="shared" si="18"/>
        <v>44.952840000000734</v>
      </c>
    </row>
    <row r="133" spans="1:14" x14ac:dyDescent="0.2">
      <c r="A133" t="s">
        <v>151</v>
      </c>
      <c r="B133">
        <v>629014</v>
      </c>
      <c r="C133" s="60">
        <v>42661</v>
      </c>
      <c r="D133">
        <v>16030</v>
      </c>
      <c r="E133">
        <v>31</v>
      </c>
      <c r="F133">
        <f t="shared" si="19"/>
        <v>4974.269299999999</v>
      </c>
      <c r="H133" s="57">
        <v>16610</v>
      </c>
      <c r="I133">
        <f t="shared" si="14"/>
        <v>5149.1000000000004</v>
      </c>
      <c r="J133" s="62">
        <f t="shared" si="15"/>
        <v>169.68160000000134</v>
      </c>
      <c r="K133" s="61">
        <f t="shared" si="16"/>
        <v>3.6182158452900737E-2</v>
      </c>
      <c r="L133">
        <f t="shared" si="20"/>
        <v>5.1491000000000007</v>
      </c>
      <c r="M133" s="62">
        <f t="shared" si="17"/>
        <v>42.420400000000335</v>
      </c>
      <c r="N133" s="62">
        <f t="shared" si="18"/>
        <v>127.261200000001</v>
      </c>
    </row>
    <row r="134" spans="1:14" x14ac:dyDescent="0.2">
      <c r="A134" t="s">
        <v>399</v>
      </c>
      <c r="B134">
        <v>1136639</v>
      </c>
      <c r="C134" s="60">
        <v>42661</v>
      </c>
      <c r="D134">
        <v>179.5</v>
      </c>
      <c r="E134">
        <v>2762</v>
      </c>
      <c r="F134">
        <f t="shared" si="19"/>
        <v>4962.7477899999994</v>
      </c>
      <c r="H134">
        <v>180.1</v>
      </c>
      <c r="I134">
        <f t="shared" si="14"/>
        <v>4974.3620000000001</v>
      </c>
      <c r="J134" s="62">
        <f t="shared" si="15"/>
        <v>6.6398480000006392</v>
      </c>
      <c r="K134" s="61">
        <f t="shared" si="16"/>
        <v>3.3426183844009749E-3</v>
      </c>
      <c r="L134">
        <f t="shared" si="20"/>
        <v>4.9743620000000002</v>
      </c>
      <c r="M134" s="62">
        <f t="shared" si="17"/>
        <v>1.6599620000001598</v>
      </c>
      <c r="N134" s="62">
        <f t="shared" si="18"/>
        <v>4.9798860000004792</v>
      </c>
    </row>
    <row r="135" spans="1:14" x14ac:dyDescent="0.2">
      <c r="A135" t="s">
        <v>358</v>
      </c>
      <c r="B135">
        <v>1117795</v>
      </c>
      <c r="C135" s="60">
        <v>42663</v>
      </c>
      <c r="D135">
        <v>1985</v>
      </c>
      <c r="E135">
        <v>252</v>
      </c>
      <c r="F135">
        <f t="shared" si="19"/>
        <v>5007.2021999999997</v>
      </c>
      <c r="H135" s="57">
        <v>1989</v>
      </c>
      <c r="I135">
        <f t="shared" si="14"/>
        <v>5012.28</v>
      </c>
      <c r="J135" s="62">
        <f t="shared" si="15"/>
        <v>6.5520000000025114E-2</v>
      </c>
      <c r="K135" s="61">
        <f t="shared" si="16"/>
        <v>2.0151133501260521E-3</v>
      </c>
      <c r="L135">
        <f t="shared" si="20"/>
        <v>5.0122799999999996</v>
      </c>
      <c r="M135" s="62">
        <f t="shared" si="17"/>
        <v>1.6380000000006278E-2</v>
      </c>
      <c r="N135" s="62">
        <f t="shared" si="18"/>
        <v>4.9140000000018835E-2</v>
      </c>
    </row>
  </sheetData>
  <conditionalFormatting sqref="K19:K22">
    <cfRule type="colorScale" priority="271">
      <colorScale>
        <cfvo type="num" val="0"/>
        <cfvo type="num" val="1.0000000000000001E-5"/>
        <color rgb="FFE58583"/>
        <color theme="9"/>
      </colorScale>
    </cfRule>
  </conditionalFormatting>
  <conditionalFormatting sqref="J6">
    <cfRule type="colorScale" priority="270">
      <colorScale>
        <cfvo type="num" val="0"/>
        <cfvo type="num" val="1.0000000000000001E-5"/>
        <color rgb="FFE58583"/>
        <color theme="9"/>
      </colorScale>
    </cfRule>
  </conditionalFormatting>
  <conditionalFormatting sqref="M4:N4">
    <cfRule type="colorScale" priority="269">
      <colorScale>
        <cfvo type="num" val="0"/>
        <cfvo type="num" val="1.0000000000000001E-5"/>
        <color rgb="FFE58583"/>
        <color theme="9"/>
      </colorScale>
    </cfRule>
  </conditionalFormatting>
  <conditionalFormatting sqref="J4">
    <cfRule type="colorScale" priority="268">
      <colorScale>
        <cfvo type="num" val="0"/>
        <cfvo type="num" val="1.0000000000000001E-5"/>
        <color rgb="FFE58583"/>
        <color theme="9"/>
      </colorScale>
    </cfRule>
  </conditionalFormatting>
  <conditionalFormatting sqref="M5:N5">
    <cfRule type="colorScale" priority="267">
      <colorScale>
        <cfvo type="num" val="0"/>
        <cfvo type="num" val="1.0000000000000001E-5"/>
        <color rgb="FFE58583"/>
        <color theme="9"/>
      </colorScale>
    </cfRule>
  </conditionalFormatting>
  <conditionalFormatting sqref="J5">
    <cfRule type="colorScale" priority="266">
      <colorScale>
        <cfvo type="num" val="0"/>
        <cfvo type="num" val="1.0000000000000001E-5"/>
        <color rgb="FFE58583"/>
        <color theme="9"/>
      </colorScale>
    </cfRule>
  </conditionalFormatting>
  <conditionalFormatting sqref="M7:N7">
    <cfRule type="colorScale" priority="265">
      <colorScale>
        <cfvo type="num" val="0"/>
        <cfvo type="num" val="1.0000000000000001E-5"/>
        <color rgb="FFE58583"/>
        <color theme="9"/>
      </colorScale>
    </cfRule>
  </conditionalFormatting>
  <conditionalFormatting sqref="J7">
    <cfRule type="colorScale" priority="264">
      <colorScale>
        <cfvo type="num" val="0"/>
        <cfvo type="num" val="1.0000000000000001E-5"/>
        <color rgb="FFE58583"/>
        <color theme="9"/>
      </colorScale>
    </cfRule>
  </conditionalFormatting>
  <conditionalFormatting sqref="M8:N8">
    <cfRule type="colorScale" priority="263">
      <colorScale>
        <cfvo type="num" val="0"/>
        <cfvo type="num" val="1.0000000000000001E-5"/>
        <color rgb="FFE58583"/>
        <color theme="9"/>
      </colorScale>
    </cfRule>
  </conditionalFormatting>
  <conditionalFormatting sqref="J8">
    <cfRule type="colorScale" priority="262">
      <colorScale>
        <cfvo type="num" val="0"/>
        <cfvo type="num" val="1.0000000000000001E-5"/>
        <color rgb="FFE58583"/>
        <color theme="9"/>
      </colorScale>
    </cfRule>
  </conditionalFormatting>
  <conditionalFormatting sqref="M9:N9">
    <cfRule type="colorScale" priority="261">
      <colorScale>
        <cfvo type="num" val="0"/>
        <cfvo type="num" val="1.0000000000000001E-5"/>
        <color rgb="FFE58583"/>
        <color theme="9"/>
      </colorScale>
    </cfRule>
  </conditionalFormatting>
  <conditionalFormatting sqref="J9">
    <cfRule type="colorScale" priority="260">
      <colorScale>
        <cfvo type="num" val="0"/>
        <cfvo type="num" val="1.0000000000000001E-5"/>
        <color rgb="FFE58583"/>
        <color theme="9"/>
      </colorScale>
    </cfRule>
  </conditionalFormatting>
  <conditionalFormatting sqref="M10:N10">
    <cfRule type="colorScale" priority="259">
      <colorScale>
        <cfvo type="num" val="0"/>
        <cfvo type="num" val="1.0000000000000001E-5"/>
        <color rgb="FFE58583"/>
        <color theme="9"/>
      </colorScale>
    </cfRule>
  </conditionalFormatting>
  <conditionalFormatting sqref="J10">
    <cfRule type="colorScale" priority="258">
      <colorScale>
        <cfvo type="num" val="0"/>
        <cfvo type="num" val="1.0000000000000001E-5"/>
        <color rgb="FFE58583"/>
        <color theme="9"/>
      </colorScale>
    </cfRule>
  </conditionalFormatting>
  <conditionalFormatting sqref="M6:N6">
    <cfRule type="colorScale" priority="257">
      <colorScale>
        <cfvo type="num" val="0"/>
        <cfvo type="num" val="1.0000000000000001E-5"/>
        <color rgb="FFE58583"/>
        <color theme="9"/>
      </colorScale>
    </cfRule>
  </conditionalFormatting>
  <conditionalFormatting sqref="M11:N11">
    <cfRule type="colorScale" priority="256">
      <colorScale>
        <cfvo type="num" val="0"/>
        <cfvo type="num" val="1.0000000000000001E-5"/>
        <color rgb="FFE58583"/>
        <color theme="9"/>
      </colorScale>
    </cfRule>
  </conditionalFormatting>
  <conditionalFormatting sqref="J11">
    <cfRule type="colorScale" priority="255">
      <colorScale>
        <cfvo type="num" val="0"/>
        <cfvo type="num" val="1.0000000000000001E-5"/>
        <color rgb="FFE58583"/>
        <color theme="9"/>
      </colorScale>
    </cfRule>
  </conditionalFormatting>
  <conditionalFormatting sqref="K2:K11">
    <cfRule type="colorScale" priority="254">
      <colorScale>
        <cfvo type="num" val="0"/>
        <cfvo type="num" val="1.0000000000000001E-5"/>
        <color rgb="FFE58583"/>
        <color theme="9"/>
      </colorScale>
    </cfRule>
  </conditionalFormatting>
  <conditionalFormatting sqref="M12:N12">
    <cfRule type="colorScale" priority="253">
      <colorScale>
        <cfvo type="num" val="0"/>
        <cfvo type="num" val="1.0000000000000001E-5"/>
        <color rgb="FFE58583"/>
        <color theme="9"/>
      </colorScale>
    </cfRule>
  </conditionalFormatting>
  <conditionalFormatting sqref="J12:K12">
    <cfRule type="colorScale" priority="252">
      <colorScale>
        <cfvo type="num" val="0"/>
        <cfvo type="num" val="1.0000000000000001E-5"/>
        <color rgb="FFE58583"/>
        <color theme="9"/>
      </colorScale>
    </cfRule>
  </conditionalFormatting>
  <conditionalFormatting sqref="M13:N13">
    <cfRule type="colorScale" priority="251">
      <colorScale>
        <cfvo type="num" val="0"/>
        <cfvo type="num" val="1.0000000000000001E-5"/>
        <color rgb="FFE58583"/>
        <color theme="9"/>
      </colorScale>
    </cfRule>
  </conditionalFormatting>
  <conditionalFormatting sqref="J13:K13">
    <cfRule type="colorScale" priority="250">
      <colorScale>
        <cfvo type="num" val="0"/>
        <cfvo type="num" val="1.0000000000000001E-5"/>
        <color rgb="FFE58583"/>
        <color theme="9"/>
      </colorScale>
    </cfRule>
  </conditionalFormatting>
  <conditionalFormatting sqref="M14:N14">
    <cfRule type="colorScale" priority="249">
      <colorScale>
        <cfvo type="num" val="0"/>
        <cfvo type="num" val="1.0000000000000001E-5"/>
        <color rgb="FFE58583"/>
        <color theme="9"/>
      </colorScale>
    </cfRule>
  </conditionalFormatting>
  <conditionalFormatting sqref="J14:K14">
    <cfRule type="colorScale" priority="248">
      <colorScale>
        <cfvo type="num" val="0"/>
        <cfvo type="num" val="1.0000000000000001E-5"/>
        <color rgb="FFE58583"/>
        <color theme="9"/>
      </colorScale>
    </cfRule>
  </conditionalFormatting>
  <conditionalFormatting sqref="M15:N15">
    <cfRule type="colorScale" priority="247">
      <colorScale>
        <cfvo type="num" val="0"/>
        <cfvo type="num" val="1.0000000000000001E-5"/>
        <color rgb="FFE58583"/>
        <color theme="9"/>
      </colorScale>
    </cfRule>
  </conditionalFormatting>
  <conditionalFormatting sqref="J15:K15">
    <cfRule type="colorScale" priority="246">
      <colorScale>
        <cfvo type="num" val="0"/>
        <cfvo type="num" val="1.0000000000000001E-5"/>
        <color rgb="FFE58583"/>
        <color theme="9"/>
      </colorScale>
    </cfRule>
  </conditionalFormatting>
  <conditionalFormatting sqref="M16:N16">
    <cfRule type="colorScale" priority="245">
      <colorScale>
        <cfvo type="num" val="0"/>
        <cfvo type="num" val="1.0000000000000001E-5"/>
        <color rgb="FFE58583"/>
        <color theme="9"/>
      </colorScale>
    </cfRule>
  </conditionalFormatting>
  <conditionalFormatting sqref="J16:K16">
    <cfRule type="colorScale" priority="244">
      <colorScale>
        <cfvo type="num" val="0"/>
        <cfvo type="num" val="1.0000000000000001E-5"/>
        <color rgb="FFE58583"/>
        <color theme="9"/>
      </colorScale>
    </cfRule>
  </conditionalFormatting>
  <conditionalFormatting sqref="M17:N17">
    <cfRule type="colorScale" priority="243">
      <colorScale>
        <cfvo type="num" val="0"/>
        <cfvo type="num" val="1.0000000000000001E-5"/>
        <color rgb="FFE58583"/>
        <color theme="9"/>
      </colorScale>
    </cfRule>
  </conditionalFormatting>
  <conditionalFormatting sqref="J17:K17">
    <cfRule type="colorScale" priority="242">
      <colorScale>
        <cfvo type="num" val="0"/>
        <cfvo type="num" val="1.0000000000000001E-5"/>
        <color rgb="FFE58583"/>
        <color theme="9"/>
      </colorScale>
    </cfRule>
  </conditionalFormatting>
  <conditionalFormatting sqref="M18:N18">
    <cfRule type="colorScale" priority="241">
      <colorScale>
        <cfvo type="num" val="0"/>
        <cfvo type="num" val="1.0000000000000001E-5"/>
        <color rgb="FFE58583"/>
        <color theme="9"/>
      </colorScale>
    </cfRule>
  </conditionalFormatting>
  <conditionalFormatting sqref="J18:K18">
    <cfRule type="colorScale" priority="240">
      <colorScale>
        <cfvo type="num" val="0"/>
        <cfvo type="num" val="1.0000000000000001E-5"/>
        <color rgb="FFE58583"/>
        <color theme="9"/>
      </colorScale>
    </cfRule>
  </conditionalFormatting>
  <conditionalFormatting sqref="M19:N19">
    <cfRule type="colorScale" priority="239">
      <colorScale>
        <cfvo type="num" val="0"/>
        <cfvo type="num" val="1.0000000000000001E-5"/>
        <color rgb="FFE58583"/>
        <color theme="9"/>
      </colorScale>
    </cfRule>
  </conditionalFormatting>
  <conditionalFormatting sqref="J19">
    <cfRule type="colorScale" priority="238">
      <colorScale>
        <cfvo type="num" val="0"/>
        <cfvo type="num" val="1.0000000000000001E-5"/>
        <color rgb="FFE58583"/>
        <color theme="9"/>
      </colorScale>
    </cfRule>
  </conditionalFormatting>
  <conditionalFormatting sqref="M20:N20">
    <cfRule type="colorScale" priority="237">
      <colorScale>
        <cfvo type="num" val="0"/>
        <cfvo type="num" val="1.0000000000000001E-5"/>
        <color rgb="FFE58583"/>
        <color theme="9"/>
      </colorScale>
    </cfRule>
  </conditionalFormatting>
  <conditionalFormatting sqref="J20">
    <cfRule type="colorScale" priority="236">
      <colorScale>
        <cfvo type="num" val="0"/>
        <cfvo type="num" val="1.0000000000000001E-5"/>
        <color rgb="FFE58583"/>
        <color theme="9"/>
      </colorScale>
    </cfRule>
  </conditionalFormatting>
  <conditionalFormatting sqref="M21:N21">
    <cfRule type="colorScale" priority="235">
      <colorScale>
        <cfvo type="num" val="0"/>
        <cfvo type="num" val="1.0000000000000001E-5"/>
        <color rgb="FFE58583"/>
        <color theme="9"/>
      </colorScale>
    </cfRule>
  </conditionalFormatting>
  <conditionalFormatting sqref="J21">
    <cfRule type="colorScale" priority="234">
      <colorScale>
        <cfvo type="num" val="0"/>
        <cfvo type="num" val="1.0000000000000001E-5"/>
        <color rgb="FFE58583"/>
        <color theme="9"/>
      </colorScale>
    </cfRule>
  </conditionalFormatting>
  <conditionalFormatting sqref="M22:N22">
    <cfRule type="colorScale" priority="233">
      <colorScale>
        <cfvo type="num" val="0"/>
        <cfvo type="num" val="1.0000000000000001E-5"/>
        <color rgb="FFE58583"/>
        <color theme="9"/>
      </colorScale>
    </cfRule>
  </conditionalFormatting>
  <conditionalFormatting sqref="J22">
    <cfRule type="colorScale" priority="232">
      <colorScale>
        <cfvo type="num" val="0"/>
        <cfvo type="num" val="1.0000000000000001E-5"/>
        <color rgb="FFE58583"/>
        <color theme="9"/>
      </colorScale>
    </cfRule>
  </conditionalFormatting>
  <conditionalFormatting sqref="M23:N23">
    <cfRule type="colorScale" priority="231">
      <colorScale>
        <cfvo type="num" val="0"/>
        <cfvo type="num" val="1.0000000000000001E-5"/>
        <color rgb="FFE58583"/>
        <color theme="9"/>
      </colorScale>
    </cfRule>
  </conditionalFormatting>
  <conditionalFormatting sqref="J23">
    <cfRule type="colorScale" priority="230">
      <colorScale>
        <cfvo type="num" val="0"/>
        <cfvo type="num" val="1.0000000000000001E-5"/>
        <color rgb="FFE58583"/>
        <color theme="9"/>
      </colorScale>
    </cfRule>
  </conditionalFormatting>
  <conditionalFormatting sqref="K23">
    <cfRule type="colorScale" priority="229">
      <colorScale>
        <cfvo type="num" val="0"/>
        <cfvo type="num" val="1.0000000000000001E-5"/>
        <color rgb="FFE58583"/>
        <color theme="9"/>
      </colorScale>
    </cfRule>
  </conditionalFormatting>
  <conditionalFormatting sqref="M24:N24">
    <cfRule type="colorScale" priority="228">
      <colorScale>
        <cfvo type="num" val="0"/>
        <cfvo type="num" val="1.0000000000000001E-5"/>
        <color rgb="FFE58583"/>
        <color theme="9"/>
      </colorScale>
    </cfRule>
  </conditionalFormatting>
  <conditionalFormatting sqref="J24">
    <cfRule type="colorScale" priority="227">
      <colorScale>
        <cfvo type="num" val="0"/>
        <cfvo type="num" val="1.0000000000000001E-5"/>
        <color rgb="FFE58583"/>
        <color theme="9"/>
      </colorScale>
    </cfRule>
  </conditionalFormatting>
  <conditionalFormatting sqref="K24">
    <cfRule type="colorScale" priority="226">
      <colorScale>
        <cfvo type="num" val="0"/>
        <cfvo type="num" val="1.0000000000000001E-5"/>
        <color rgb="FFE58583"/>
        <color theme="9"/>
      </colorScale>
    </cfRule>
  </conditionalFormatting>
  <conditionalFormatting sqref="M25:N25">
    <cfRule type="colorScale" priority="225">
      <colorScale>
        <cfvo type="num" val="0"/>
        <cfvo type="num" val="1.0000000000000001E-5"/>
        <color rgb="FFE58583"/>
        <color theme="9"/>
      </colorScale>
    </cfRule>
  </conditionalFormatting>
  <conditionalFormatting sqref="J25">
    <cfRule type="colorScale" priority="224">
      <colorScale>
        <cfvo type="num" val="0"/>
        <cfvo type="num" val="1.0000000000000001E-5"/>
        <color rgb="FFE58583"/>
        <color theme="9"/>
      </colorScale>
    </cfRule>
  </conditionalFormatting>
  <conditionalFormatting sqref="K25">
    <cfRule type="colorScale" priority="223">
      <colorScale>
        <cfvo type="num" val="0"/>
        <cfvo type="num" val="1.0000000000000001E-5"/>
        <color rgb="FFE58583"/>
        <color theme="9"/>
      </colorScale>
    </cfRule>
  </conditionalFormatting>
  <conditionalFormatting sqref="M26:N26">
    <cfRule type="colorScale" priority="222">
      <colorScale>
        <cfvo type="num" val="0"/>
        <cfvo type="num" val="1.0000000000000001E-5"/>
        <color rgb="FFE58583"/>
        <color theme="9"/>
      </colorScale>
    </cfRule>
  </conditionalFormatting>
  <conditionalFormatting sqref="J26">
    <cfRule type="colorScale" priority="221">
      <colorScale>
        <cfvo type="num" val="0"/>
        <cfvo type="num" val="1.0000000000000001E-5"/>
        <color rgb="FFE58583"/>
        <color theme="9"/>
      </colorScale>
    </cfRule>
  </conditionalFormatting>
  <conditionalFormatting sqref="K26">
    <cfRule type="colorScale" priority="220">
      <colorScale>
        <cfvo type="num" val="0"/>
        <cfvo type="num" val="1.0000000000000001E-5"/>
        <color rgb="FFE58583"/>
        <color theme="9"/>
      </colorScale>
    </cfRule>
  </conditionalFormatting>
  <conditionalFormatting sqref="M27:N27">
    <cfRule type="colorScale" priority="219">
      <colorScale>
        <cfvo type="num" val="0"/>
        <cfvo type="num" val="1.0000000000000001E-5"/>
        <color rgb="FFE58583"/>
        <color theme="9"/>
      </colorScale>
    </cfRule>
  </conditionalFormatting>
  <conditionalFormatting sqref="J27">
    <cfRule type="colorScale" priority="218">
      <colorScale>
        <cfvo type="num" val="0"/>
        <cfvo type="num" val="1.0000000000000001E-5"/>
        <color rgb="FFE58583"/>
        <color theme="9"/>
      </colorScale>
    </cfRule>
  </conditionalFormatting>
  <conditionalFormatting sqref="K27">
    <cfRule type="colorScale" priority="217">
      <colorScale>
        <cfvo type="num" val="0"/>
        <cfvo type="num" val="1.0000000000000001E-5"/>
        <color rgb="FFE58583"/>
        <color theme="9"/>
      </colorScale>
    </cfRule>
  </conditionalFormatting>
  <conditionalFormatting sqref="M28:N28">
    <cfRule type="colorScale" priority="216">
      <colorScale>
        <cfvo type="num" val="0"/>
        <cfvo type="num" val="1.0000000000000001E-5"/>
        <color rgb="FFE58583"/>
        <color theme="9"/>
      </colorScale>
    </cfRule>
  </conditionalFormatting>
  <conditionalFormatting sqref="J28:K28">
    <cfRule type="colorScale" priority="215">
      <colorScale>
        <cfvo type="num" val="0"/>
        <cfvo type="num" val="1.0000000000000001E-5"/>
        <color rgb="FFE58583"/>
        <color theme="9"/>
      </colorScale>
    </cfRule>
  </conditionalFormatting>
  <conditionalFormatting sqref="M30:N30">
    <cfRule type="colorScale" priority="212">
      <colorScale>
        <cfvo type="num" val="0"/>
        <cfvo type="num" val="1.0000000000000001E-5"/>
        <color rgb="FFE58583"/>
        <color theme="9"/>
      </colorScale>
    </cfRule>
  </conditionalFormatting>
  <conditionalFormatting sqref="J30:K30">
    <cfRule type="colorScale" priority="211">
      <colorScale>
        <cfvo type="num" val="0"/>
        <cfvo type="num" val="1.0000000000000001E-5"/>
        <color rgb="FFE58583"/>
        <color theme="9"/>
      </colorScale>
    </cfRule>
  </conditionalFormatting>
  <conditionalFormatting sqref="M29:N29">
    <cfRule type="colorScale" priority="214">
      <colorScale>
        <cfvo type="num" val="0"/>
        <cfvo type="num" val="1.0000000000000001E-5"/>
        <color rgb="FFE58583"/>
        <color theme="9"/>
      </colorScale>
    </cfRule>
  </conditionalFormatting>
  <conditionalFormatting sqref="J29:K29">
    <cfRule type="colorScale" priority="213">
      <colorScale>
        <cfvo type="num" val="0"/>
        <cfvo type="num" val="1.0000000000000001E-5"/>
        <color rgb="FFE58583"/>
        <color theme="9"/>
      </colorScale>
    </cfRule>
  </conditionalFormatting>
  <conditionalFormatting sqref="M31:N31">
    <cfRule type="colorScale" priority="210">
      <colorScale>
        <cfvo type="num" val="0"/>
        <cfvo type="num" val="1.0000000000000001E-5"/>
        <color rgb="FFE58583"/>
        <color theme="9"/>
      </colorScale>
    </cfRule>
  </conditionalFormatting>
  <conditionalFormatting sqref="J31:K31">
    <cfRule type="colorScale" priority="209">
      <colorScale>
        <cfvo type="num" val="0"/>
        <cfvo type="num" val="1.0000000000000001E-5"/>
        <color rgb="FFE58583"/>
        <color theme="9"/>
      </colorScale>
    </cfRule>
  </conditionalFormatting>
  <conditionalFormatting sqref="M32:N32">
    <cfRule type="colorScale" priority="208">
      <colorScale>
        <cfvo type="num" val="0"/>
        <cfvo type="num" val="1.0000000000000001E-5"/>
        <color rgb="FFE58583"/>
        <color theme="9"/>
      </colorScale>
    </cfRule>
  </conditionalFormatting>
  <conditionalFormatting sqref="J32:K32">
    <cfRule type="colorScale" priority="207">
      <colorScale>
        <cfvo type="num" val="0"/>
        <cfvo type="num" val="1.0000000000000001E-5"/>
        <color rgb="FFE58583"/>
        <color theme="9"/>
      </colorScale>
    </cfRule>
  </conditionalFormatting>
  <conditionalFormatting sqref="M33:N33">
    <cfRule type="colorScale" priority="206">
      <colorScale>
        <cfvo type="num" val="0"/>
        <cfvo type="num" val="1.0000000000000001E-5"/>
        <color rgb="FFE58583"/>
        <color theme="9"/>
      </colorScale>
    </cfRule>
  </conditionalFormatting>
  <conditionalFormatting sqref="J33:K33">
    <cfRule type="colorScale" priority="205">
      <colorScale>
        <cfvo type="num" val="0"/>
        <cfvo type="num" val="1.0000000000000001E-5"/>
        <color rgb="FFE58583"/>
        <color theme="9"/>
      </colorScale>
    </cfRule>
  </conditionalFormatting>
  <conditionalFormatting sqref="M34:N34">
    <cfRule type="colorScale" priority="204">
      <colorScale>
        <cfvo type="num" val="0"/>
        <cfvo type="num" val="1.0000000000000001E-5"/>
        <color rgb="FFE58583"/>
        <color theme="9"/>
      </colorScale>
    </cfRule>
  </conditionalFormatting>
  <conditionalFormatting sqref="J34:K34">
    <cfRule type="colorScale" priority="203">
      <colorScale>
        <cfvo type="num" val="0"/>
        <cfvo type="num" val="1.0000000000000001E-5"/>
        <color rgb="FFE58583"/>
        <color theme="9"/>
      </colorScale>
    </cfRule>
  </conditionalFormatting>
  <conditionalFormatting sqref="M35:N35">
    <cfRule type="colorScale" priority="202">
      <colorScale>
        <cfvo type="num" val="0"/>
        <cfvo type="num" val="1.0000000000000001E-5"/>
        <color rgb="FFE58583"/>
        <color theme="9"/>
      </colorScale>
    </cfRule>
  </conditionalFormatting>
  <conditionalFormatting sqref="J35:K35">
    <cfRule type="colorScale" priority="201">
      <colorScale>
        <cfvo type="num" val="0"/>
        <cfvo type="num" val="1.0000000000000001E-5"/>
        <color rgb="FFE58583"/>
        <color theme="9"/>
      </colorScale>
    </cfRule>
  </conditionalFormatting>
  <conditionalFormatting sqref="M36:N36">
    <cfRule type="colorScale" priority="200">
      <colorScale>
        <cfvo type="num" val="0"/>
        <cfvo type="num" val="1.0000000000000001E-5"/>
        <color rgb="FFE58583"/>
        <color theme="9"/>
      </colorScale>
    </cfRule>
  </conditionalFormatting>
  <conditionalFormatting sqref="J36:K36">
    <cfRule type="colorScale" priority="199">
      <colorScale>
        <cfvo type="num" val="0"/>
        <cfvo type="num" val="1.0000000000000001E-5"/>
        <color rgb="FFE58583"/>
        <color theme="9"/>
      </colorScale>
    </cfRule>
  </conditionalFormatting>
  <conditionalFormatting sqref="M37:N37">
    <cfRule type="colorScale" priority="198">
      <colorScale>
        <cfvo type="num" val="0"/>
        <cfvo type="num" val="1.0000000000000001E-5"/>
        <color rgb="FFE58583"/>
        <color theme="9"/>
      </colorScale>
    </cfRule>
  </conditionalFormatting>
  <conditionalFormatting sqref="J37:K37">
    <cfRule type="colorScale" priority="197">
      <colorScale>
        <cfvo type="num" val="0"/>
        <cfvo type="num" val="1.0000000000000001E-5"/>
        <color rgb="FFE58583"/>
        <color theme="9"/>
      </colorScale>
    </cfRule>
  </conditionalFormatting>
  <conditionalFormatting sqref="J41:K41">
    <cfRule type="colorScale" priority="189">
      <colorScale>
        <cfvo type="num" val="0"/>
        <cfvo type="num" val="1.0000000000000001E-5"/>
        <color rgb="FFE58583"/>
        <color theme="9"/>
      </colorScale>
    </cfRule>
  </conditionalFormatting>
  <conditionalFormatting sqref="M42:N42">
    <cfRule type="colorScale" priority="188">
      <colorScale>
        <cfvo type="num" val="0"/>
        <cfvo type="num" val="1.0000000000000001E-5"/>
        <color rgb="FFE58583"/>
        <color theme="9"/>
      </colorScale>
    </cfRule>
  </conditionalFormatting>
  <conditionalFormatting sqref="J42:K42">
    <cfRule type="colorScale" priority="187">
      <colorScale>
        <cfvo type="num" val="0"/>
        <cfvo type="num" val="1.0000000000000001E-5"/>
        <color rgb="FFE58583"/>
        <color theme="9"/>
      </colorScale>
    </cfRule>
  </conditionalFormatting>
  <conditionalFormatting sqref="M38:N38">
    <cfRule type="colorScale" priority="196">
      <colorScale>
        <cfvo type="num" val="0"/>
        <cfvo type="num" val="1.0000000000000001E-5"/>
        <color rgb="FFE58583"/>
        <color theme="9"/>
      </colorScale>
    </cfRule>
  </conditionalFormatting>
  <conditionalFormatting sqref="J38:K38">
    <cfRule type="colorScale" priority="195">
      <colorScale>
        <cfvo type="num" val="0"/>
        <cfvo type="num" val="1.0000000000000001E-5"/>
        <color rgb="FFE58583"/>
        <color theme="9"/>
      </colorScale>
    </cfRule>
  </conditionalFormatting>
  <conditionalFormatting sqref="M39:N39">
    <cfRule type="colorScale" priority="194">
      <colorScale>
        <cfvo type="num" val="0"/>
        <cfvo type="num" val="1.0000000000000001E-5"/>
        <color rgb="FFE58583"/>
        <color theme="9"/>
      </colorScale>
    </cfRule>
  </conditionalFormatting>
  <conditionalFormatting sqref="J39:K39">
    <cfRule type="colorScale" priority="193">
      <colorScale>
        <cfvo type="num" val="0"/>
        <cfvo type="num" val="1.0000000000000001E-5"/>
        <color rgb="FFE58583"/>
        <color theme="9"/>
      </colorScale>
    </cfRule>
  </conditionalFormatting>
  <conditionalFormatting sqref="M40:N40">
    <cfRule type="colorScale" priority="192">
      <colorScale>
        <cfvo type="num" val="0"/>
        <cfvo type="num" val="1.0000000000000001E-5"/>
        <color rgb="FFE58583"/>
        <color theme="9"/>
      </colorScale>
    </cfRule>
  </conditionalFormatting>
  <conditionalFormatting sqref="J40:K40">
    <cfRule type="colorScale" priority="191">
      <colorScale>
        <cfvo type="num" val="0"/>
        <cfvo type="num" val="1.0000000000000001E-5"/>
        <color rgb="FFE58583"/>
        <color theme="9"/>
      </colorScale>
    </cfRule>
  </conditionalFormatting>
  <conditionalFormatting sqref="M41:N41">
    <cfRule type="colorScale" priority="190">
      <colorScale>
        <cfvo type="num" val="0"/>
        <cfvo type="num" val="1.0000000000000001E-5"/>
        <color rgb="FFE58583"/>
        <color theme="9"/>
      </colorScale>
    </cfRule>
  </conditionalFormatting>
  <conditionalFormatting sqref="M43:N43">
    <cfRule type="colorScale" priority="186">
      <colorScale>
        <cfvo type="num" val="0"/>
        <cfvo type="num" val="1.0000000000000001E-5"/>
        <color rgb="FFE58583"/>
        <color theme="9"/>
      </colorScale>
    </cfRule>
  </conditionalFormatting>
  <conditionalFormatting sqref="J43:K43">
    <cfRule type="colorScale" priority="185">
      <colorScale>
        <cfvo type="num" val="0"/>
        <cfvo type="num" val="1.0000000000000001E-5"/>
        <color rgb="FFE58583"/>
        <color theme="9"/>
      </colorScale>
    </cfRule>
  </conditionalFormatting>
  <conditionalFormatting sqref="M44:N44">
    <cfRule type="colorScale" priority="184">
      <colorScale>
        <cfvo type="num" val="0"/>
        <cfvo type="num" val="1.0000000000000001E-5"/>
        <color rgb="FFE58583"/>
        <color theme="9"/>
      </colorScale>
    </cfRule>
  </conditionalFormatting>
  <conditionalFormatting sqref="J44:K44">
    <cfRule type="colorScale" priority="183">
      <colorScale>
        <cfvo type="num" val="0"/>
        <cfvo type="num" val="1.0000000000000001E-5"/>
        <color rgb="FFE58583"/>
        <color theme="9"/>
      </colorScale>
    </cfRule>
  </conditionalFormatting>
  <conditionalFormatting sqref="M45:N45">
    <cfRule type="colorScale" priority="182">
      <colorScale>
        <cfvo type="num" val="0"/>
        <cfvo type="num" val="1.0000000000000001E-5"/>
        <color rgb="FFE58583"/>
        <color theme="9"/>
      </colorScale>
    </cfRule>
  </conditionalFormatting>
  <conditionalFormatting sqref="J45:K45">
    <cfRule type="colorScale" priority="181">
      <colorScale>
        <cfvo type="num" val="0"/>
        <cfvo type="num" val="1.0000000000000001E-5"/>
        <color rgb="FFE58583"/>
        <color theme="9"/>
      </colorScale>
    </cfRule>
  </conditionalFormatting>
  <conditionalFormatting sqref="M46:N46">
    <cfRule type="colorScale" priority="180">
      <colorScale>
        <cfvo type="num" val="0"/>
        <cfvo type="num" val="1.0000000000000001E-5"/>
        <color rgb="FFE58583"/>
        <color theme="9"/>
      </colorScale>
    </cfRule>
  </conditionalFormatting>
  <conditionalFormatting sqref="J46:K46">
    <cfRule type="colorScale" priority="179">
      <colorScale>
        <cfvo type="num" val="0"/>
        <cfvo type="num" val="1.0000000000000001E-5"/>
        <color rgb="FFE58583"/>
        <color theme="9"/>
      </colorScale>
    </cfRule>
  </conditionalFormatting>
  <conditionalFormatting sqref="M47:N47">
    <cfRule type="colorScale" priority="178">
      <colorScale>
        <cfvo type="num" val="0"/>
        <cfvo type="num" val="1.0000000000000001E-5"/>
        <color rgb="FFE58583"/>
        <color theme="9"/>
      </colorScale>
    </cfRule>
  </conditionalFormatting>
  <conditionalFormatting sqref="J47:K47">
    <cfRule type="colorScale" priority="177">
      <colorScale>
        <cfvo type="num" val="0"/>
        <cfvo type="num" val="1.0000000000000001E-5"/>
        <color rgb="FFE58583"/>
        <color theme="9"/>
      </colorScale>
    </cfRule>
  </conditionalFormatting>
  <conditionalFormatting sqref="M49:N49">
    <cfRule type="colorScale" priority="174">
      <colorScale>
        <cfvo type="num" val="0"/>
        <cfvo type="num" val="1.0000000000000001E-5"/>
        <color rgb="FFE58583"/>
        <color theme="9"/>
      </colorScale>
    </cfRule>
  </conditionalFormatting>
  <conditionalFormatting sqref="J49:K49">
    <cfRule type="colorScale" priority="173">
      <colorScale>
        <cfvo type="num" val="0"/>
        <cfvo type="num" val="1.0000000000000001E-5"/>
        <color rgb="FFE58583"/>
        <color theme="9"/>
      </colorScale>
    </cfRule>
  </conditionalFormatting>
  <conditionalFormatting sqref="M48:N48">
    <cfRule type="colorScale" priority="176">
      <colorScale>
        <cfvo type="num" val="0"/>
        <cfvo type="num" val="1.0000000000000001E-5"/>
        <color rgb="FFE58583"/>
        <color theme="9"/>
      </colorScale>
    </cfRule>
  </conditionalFormatting>
  <conditionalFormatting sqref="J48:K48">
    <cfRule type="colorScale" priority="175">
      <colorScale>
        <cfvo type="num" val="0"/>
        <cfvo type="num" val="1.0000000000000001E-5"/>
        <color rgb="FFE58583"/>
        <color theme="9"/>
      </colorScale>
    </cfRule>
  </conditionalFormatting>
  <conditionalFormatting sqref="M51:N51">
    <cfRule type="colorScale" priority="170">
      <colorScale>
        <cfvo type="num" val="0"/>
        <cfvo type="num" val="1.0000000000000001E-5"/>
        <color rgb="FFE58583"/>
        <color theme="9"/>
      </colorScale>
    </cfRule>
  </conditionalFormatting>
  <conditionalFormatting sqref="J51:K51">
    <cfRule type="colorScale" priority="169">
      <colorScale>
        <cfvo type="num" val="0"/>
        <cfvo type="num" val="1.0000000000000001E-5"/>
        <color rgb="FFE58583"/>
        <color theme="9"/>
      </colorScale>
    </cfRule>
  </conditionalFormatting>
  <conditionalFormatting sqref="M50:N50">
    <cfRule type="colorScale" priority="172">
      <colorScale>
        <cfvo type="num" val="0"/>
        <cfvo type="num" val="1.0000000000000001E-5"/>
        <color rgb="FFE58583"/>
        <color theme="9"/>
      </colorScale>
    </cfRule>
  </conditionalFormatting>
  <conditionalFormatting sqref="J50:K50">
    <cfRule type="colorScale" priority="171">
      <colorScale>
        <cfvo type="num" val="0"/>
        <cfvo type="num" val="1.0000000000000001E-5"/>
        <color rgb="FFE58583"/>
        <color theme="9"/>
      </colorScale>
    </cfRule>
  </conditionalFormatting>
  <conditionalFormatting sqref="M52:N52">
    <cfRule type="colorScale" priority="168">
      <colorScale>
        <cfvo type="num" val="0"/>
        <cfvo type="num" val="1.0000000000000001E-5"/>
        <color rgb="FFE58583"/>
        <color theme="9"/>
      </colorScale>
    </cfRule>
  </conditionalFormatting>
  <conditionalFormatting sqref="J52:K52">
    <cfRule type="colorScale" priority="167">
      <colorScale>
        <cfvo type="num" val="0"/>
        <cfvo type="num" val="1.0000000000000001E-5"/>
        <color rgb="FFE58583"/>
        <color theme="9"/>
      </colorScale>
    </cfRule>
  </conditionalFormatting>
  <conditionalFormatting sqref="M53:N53">
    <cfRule type="colorScale" priority="166">
      <colorScale>
        <cfvo type="num" val="0"/>
        <cfvo type="num" val="1.0000000000000001E-5"/>
        <color rgb="FFE58583"/>
        <color theme="9"/>
      </colorScale>
    </cfRule>
  </conditionalFormatting>
  <conditionalFormatting sqref="J53:K53">
    <cfRule type="colorScale" priority="165">
      <colorScale>
        <cfvo type="num" val="0"/>
        <cfvo type="num" val="1.0000000000000001E-5"/>
        <color rgb="FFE58583"/>
        <color theme="9"/>
      </colorScale>
    </cfRule>
  </conditionalFormatting>
  <conditionalFormatting sqref="M54:N54">
    <cfRule type="colorScale" priority="164">
      <colorScale>
        <cfvo type="num" val="0"/>
        <cfvo type="num" val="1.0000000000000001E-5"/>
        <color rgb="FFE58583"/>
        <color theme="9"/>
      </colorScale>
    </cfRule>
  </conditionalFormatting>
  <conditionalFormatting sqref="J54:K54">
    <cfRule type="colorScale" priority="163">
      <colorScale>
        <cfvo type="num" val="0"/>
        <cfvo type="num" val="1.0000000000000001E-5"/>
        <color rgb="FFE58583"/>
        <color theme="9"/>
      </colorScale>
    </cfRule>
  </conditionalFormatting>
  <conditionalFormatting sqref="M55:N55">
    <cfRule type="colorScale" priority="162">
      <colorScale>
        <cfvo type="num" val="0"/>
        <cfvo type="num" val="1.0000000000000001E-5"/>
        <color rgb="FFE58583"/>
        <color theme="9"/>
      </colorScale>
    </cfRule>
  </conditionalFormatting>
  <conditionalFormatting sqref="J55:K55">
    <cfRule type="colorScale" priority="161">
      <colorScale>
        <cfvo type="num" val="0"/>
        <cfvo type="num" val="1.0000000000000001E-5"/>
        <color rgb="FFE58583"/>
        <color theme="9"/>
      </colorScale>
    </cfRule>
  </conditionalFormatting>
  <conditionalFormatting sqref="M56:N56">
    <cfRule type="colorScale" priority="160">
      <colorScale>
        <cfvo type="num" val="0"/>
        <cfvo type="num" val="1.0000000000000001E-5"/>
        <color rgb="FFE58583"/>
        <color theme="9"/>
      </colorScale>
    </cfRule>
  </conditionalFormatting>
  <conditionalFormatting sqref="J56:K56">
    <cfRule type="colorScale" priority="159">
      <colorScale>
        <cfvo type="num" val="0"/>
        <cfvo type="num" val="1.0000000000000001E-5"/>
        <color rgb="FFE58583"/>
        <color theme="9"/>
      </colorScale>
    </cfRule>
  </conditionalFormatting>
  <conditionalFormatting sqref="M57:N57">
    <cfRule type="colorScale" priority="158">
      <colorScale>
        <cfvo type="num" val="0"/>
        <cfvo type="num" val="1.0000000000000001E-5"/>
        <color rgb="FFE58583"/>
        <color theme="9"/>
      </colorScale>
    </cfRule>
  </conditionalFormatting>
  <conditionalFormatting sqref="J57:K57">
    <cfRule type="colorScale" priority="157">
      <colorScale>
        <cfvo type="num" val="0"/>
        <cfvo type="num" val="1.0000000000000001E-5"/>
        <color rgb="FFE58583"/>
        <color theme="9"/>
      </colorScale>
    </cfRule>
  </conditionalFormatting>
  <conditionalFormatting sqref="M58:N58">
    <cfRule type="colorScale" priority="156">
      <colorScale>
        <cfvo type="num" val="0"/>
        <cfvo type="num" val="1.0000000000000001E-5"/>
        <color rgb="FFE58583"/>
        <color theme="9"/>
      </colorScale>
    </cfRule>
  </conditionalFormatting>
  <conditionalFormatting sqref="J58:K58">
    <cfRule type="colorScale" priority="155">
      <colorScale>
        <cfvo type="num" val="0"/>
        <cfvo type="num" val="1.0000000000000001E-5"/>
        <color rgb="FFE58583"/>
        <color theme="9"/>
      </colorScale>
    </cfRule>
  </conditionalFormatting>
  <conditionalFormatting sqref="M59:N59">
    <cfRule type="colorScale" priority="154">
      <colorScale>
        <cfvo type="num" val="0"/>
        <cfvo type="num" val="1.0000000000000001E-5"/>
        <color rgb="FFE58583"/>
        <color theme="9"/>
      </colorScale>
    </cfRule>
  </conditionalFormatting>
  <conditionalFormatting sqref="J59:K59">
    <cfRule type="colorScale" priority="153">
      <colorScale>
        <cfvo type="num" val="0"/>
        <cfvo type="num" val="1.0000000000000001E-5"/>
        <color rgb="FFE58583"/>
        <color theme="9"/>
      </colorScale>
    </cfRule>
  </conditionalFormatting>
  <conditionalFormatting sqref="M60:N60">
    <cfRule type="colorScale" priority="152">
      <colorScale>
        <cfvo type="num" val="0"/>
        <cfvo type="num" val="1.0000000000000001E-5"/>
        <color rgb="FFE58583"/>
        <color theme="9"/>
      </colorScale>
    </cfRule>
  </conditionalFormatting>
  <conditionalFormatting sqref="J60:K60">
    <cfRule type="colorScale" priority="151">
      <colorScale>
        <cfvo type="num" val="0"/>
        <cfvo type="num" val="1.0000000000000001E-5"/>
        <color rgb="FFE58583"/>
        <color theme="9"/>
      </colorScale>
    </cfRule>
  </conditionalFormatting>
  <conditionalFormatting sqref="M61:N61">
    <cfRule type="colorScale" priority="150">
      <colorScale>
        <cfvo type="num" val="0"/>
        <cfvo type="num" val="1.0000000000000001E-5"/>
        <color rgb="FFE58583"/>
        <color theme="9"/>
      </colorScale>
    </cfRule>
  </conditionalFormatting>
  <conditionalFormatting sqref="J61:K61">
    <cfRule type="colorScale" priority="149">
      <colorScale>
        <cfvo type="num" val="0"/>
        <cfvo type="num" val="1.0000000000000001E-5"/>
        <color rgb="FFE58583"/>
        <color theme="9"/>
      </colorScale>
    </cfRule>
  </conditionalFormatting>
  <conditionalFormatting sqref="M62:N62">
    <cfRule type="colorScale" priority="148">
      <colorScale>
        <cfvo type="num" val="0"/>
        <cfvo type="num" val="1.0000000000000001E-5"/>
        <color rgb="FFE58583"/>
        <color theme="9"/>
      </colorScale>
    </cfRule>
  </conditionalFormatting>
  <conditionalFormatting sqref="J62:K62">
    <cfRule type="colorScale" priority="147">
      <colorScale>
        <cfvo type="num" val="0"/>
        <cfvo type="num" val="1.0000000000000001E-5"/>
        <color rgb="FFE58583"/>
        <color theme="9"/>
      </colorScale>
    </cfRule>
  </conditionalFormatting>
  <conditionalFormatting sqref="M63:N63">
    <cfRule type="colorScale" priority="146">
      <colorScale>
        <cfvo type="num" val="0"/>
        <cfvo type="num" val="1.0000000000000001E-5"/>
        <color rgb="FFE58583"/>
        <color theme="9"/>
      </colorScale>
    </cfRule>
  </conditionalFormatting>
  <conditionalFormatting sqref="J63:K63">
    <cfRule type="colorScale" priority="145">
      <colorScale>
        <cfvo type="num" val="0"/>
        <cfvo type="num" val="1.0000000000000001E-5"/>
        <color rgb="FFE58583"/>
        <color theme="9"/>
      </colorScale>
    </cfRule>
  </conditionalFormatting>
  <conditionalFormatting sqref="M64:N64">
    <cfRule type="colorScale" priority="144">
      <colorScale>
        <cfvo type="num" val="0"/>
        <cfvo type="num" val="1.0000000000000001E-5"/>
        <color rgb="FFE58583"/>
        <color theme="9"/>
      </colorScale>
    </cfRule>
  </conditionalFormatting>
  <conditionalFormatting sqref="J64:K64">
    <cfRule type="colorScale" priority="143">
      <colorScale>
        <cfvo type="num" val="0"/>
        <cfvo type="num" val="1.0000000000000001E-5"/>
        <color rgb="FFE58583"/>
        <color theme="9"/>
      </colorScale>
    </cfRule>
  </conditionalFormatting>
  <conditionalFormatting sqref="M65:N65">
    <cfRule type="colorScale" priority="142">
      <colorScale>
        <cfvo type="num" val="0"/>
        <cfvo type="num" val="1.0000000000000001E-5"/>
        <color rgb="FFE58583"/>
        <color theme="9"/>
      </colorScale>
    </cfRule>
  </conditionalFormatting>
  <conditionalFormatting sqref="J65:K65">
    <cfRule type="colorScale" priority="141">
      <colorScale>
        <cfvo type="num" val="0"/>
        <cfvo type="num" val="1.0000000000000001E-5"/>
        <color rgb="FFE58583"/>
        <color theme="9"/>
      </colorScale>
    </cfRule>
  </conditionalFormatting>
  <conditionalFormatting sqref="M66:N66">
    <cfRule type="colorScale" priority="140">
      <colorScale>
        <cfvo type="num" val="0"/>
        <cfvo type="num" val="1.0000000000000001E-5"/>
        <color rgb="FFE58583"/>
        <color theme="9"/>
      </colorScale>
    </cfRule>
  </conditionalFormatting>
  <conditionalFormatting sqref="J66:K66">
    <cfRule type="colorScale" priority="139">
      <colorScale>
        <cfvo type="num" val="0"/>
        <cfvo type="num" val="1.0000000000000001E-5"/>
        <color rgb="FFE58583"/>
        <color theme="9"/>
      </colorScale>
    </cfRule>
  </conditionalFormatting>
  <conditionalFormatting sqref="M67:N67">
    <cfRule type="colorScale" priority="138">
      <colorScale>
        <cfvo type="num" val="0"/>
        <cfvo type="num" val="1.0000000000000001E-5"/>
        <color rgb="FFE58583"/>
        <color theme="9"/>
      </colorScale>
    </cfRule>
  </conditionalFormatting>
  <conditionalFormatting sqref="J67:K67">
    <cfRule type="colorScale" priority="137">
      <colorScale>
        <cfvo type="num" val="0"/>
        <cfvo type="num" val="1.0000000000000001E-5"/>
        <color rgb="FFE58583"/>
        <color theme="9"/>
      </colorScale>
    </cfRule>
  </conditionalFormatting>
  <conditionalFormatting sqref="M68:N68">
    <cfRule type="colorScale" priority="136">
      <colorScale>
        <cfvo type="num" val="0"/>
        <cfvo type="num" val="1.0000000000000001E-5"/>
        <color rgb="FFE58583"/>
        <color theme="9"/>
      </colorScale>
    </cfRule>
  </conditionalFormatting>
  <conditionalFormatting sqref="J68:K68">
    <cfRule type="colorScale" priority="135">
      <colorScale>
        <cfvo type="num" val="0"/>
        <cfvo type="num" val="1.0000000000000001E-5"/>
        <color rgb="FFE58583"/>
        <color theme="9"/>
      </colorScale>
    </cfRule>
  </conditionalFormatting>
  <conditionalFormatting sqref="M69:N69">
    <cfRule type="colorScale" priority="134">
      <colorScale>
        <cfvo type="num" val="0"/>
        <cfvo type="num" val="1.0000000000000001E-5"/>
        <color rgb="FFE58583"/>
        <color theme="9"/>
      </colorScale>
    </cfRule>
  </conditionalFormatting>
  <conditionalFormatting sqref="J69:K69">
    <cfRule type="colorScale" priority="133">
      <colorScale>
        <cfvo type="num" val="0"/>
        <cfvo type="num" val="1.0000000000000001E-5"/>
        <color rgb="FFE58583"/>
        <color theme="9"/>
      </colorScale>
    </cfRule>
  </conditionalFormatting>
  <conditionalFormatting sqref="M70:N70">
    <cfRule type="colorScale" priority="132">
      <colorScale>
        <cfvo type="num" val="0"/>
        <cfvo type="num" val="1.0000000000000001E-5"/>
        <color rgb="FFE58583"/>
        <color theme="9"/>
      </colorScale>
    </cfRule>
  </conditionalFormatting>
  <conditionalFormatting sqref="J70:K70">
    <cfRule type="colorScale" priority="131">
      <colorScale>
        <cfvo type="num" val="0"/>
        <cfvo type="num" val="1.0000000000000001E-5"/>
        <color rgb="FFE58583"/>
        <color theme="9"/>
      </colorScale>
    </cfRule>
  </conditionalFormatting>
  <conditionalFormatting sqref="M71:N71">
    <cfRule type="colorScale" priority="130">
      <colorScale>
        <cfvo type="num" val="0"/>
        <cfvo type="num" val="1.0000000000000001E-5"/>
        <color rgb="FFE58583"/>
        <color theme="9"/>
      </colorScale>
    </cfRule>
  </conditionalFormatting>
  <conditionalFormatting sqref="J71:K71">
    <cfRule type="colorScale" priority="129">
      <colorScale>
        <cfvo type="num" val="0"/>
        <cfvo type="num" val="1.0000000000000001E-5"/>
        <color rgb="FFE58583"/>
        <color theme="9"/>
      </colorScale>
    </cfRule>
  </conditionalFormatting>
  <conditionalFormatting sqref="M72:N72">
    <cfRule type="colorScale" priority="128">
      <colorScale>
        <cfvo type="num" val="0"/>
        <cfvo type="num" val="1.0000000000000001E-5"/>
        <color rgb="FFE58583"/>
        <color theme="9"/>
      </colorScale>
    </cfRule>
  </conditionalFormatting>
  <conditionalFormatting sqref="J72:K72">
    <cfRule type="colorScale" priority="127">
      <colorScale>
        <cfvo type="num" val="0"/>
        <cfvo type="num" val="1.0000000000000001E-5"/>
        <color rgb="FFE58583"/>
        <color theme="9"/>
      </colorScale>
    </cfRule>
  </conditionalFormatting>
  <conditionalFormatting sqref="M73:N73">
    <cfRule type="colorScale" priority="126">
      <colorScale>
        <cfvo type="num" val="0"/>
        <cfvo type="num" val="1.0000000000000001E-5"/>
        <color rgb="FFE58583"/>
        <color theme="9"/>
      </colorScale>
    </cfRule>
  </conditionalFormatting>
  <conditionalFormatting sqref="J73:K73">
    <cfRule type="colorScale" priority="125">
      <colorScale>
        <cfvo type="num" val="0"/>
        <cfvo type="num" val="1.0000000000000001E-5"/>
        <color rgb="FFE58583"/>
        <color theme="9"/>
      </colorScale>
    </cfRule>
  </conditionalFormatting>
  <conditionalFormatting sqref="M74:N74">
    <cfRule type="colorScale" priority="124">
      <colorScale>
        <cfvo type="num" val="0"/>
        <cfvo type="num" val="1.0000000000000001E-5"/>
        <color rgb="FFE58583"/>
        <color theme="9"/>
      </colorScale>
    </cfRule>
  </conditionalFormatting>
  <conditionalFormatting sqref="J74:K74">
    <cfRule type="colorScale" priority="123">
      <colorScale>
        <cfvo type="num" val="0"/>
        <cfvo type="num" val="1.0000000000000001E-5"/>
        <color rgb="FFE58583"/>
        <color theme="9"/>
      </colorScale>
    </cfRule>
  </conditionalFormatting>
  <conditionalFormatting sqref="M75:N75">
    <cfRule type="colorScale" priority="122">
      <colorScale>
        <cfvo type="num" val="0"/>
        <cfvo type="num" val="1.0000000000000001E-5"/>
        <color rgb="FFE58583"/>
        <color theme="9"/>
      </colorScale>
    </cfRule>
  </conditionalFormatting>
  <conditionalFormatting sqref="J75:K75">
    <cfRule type="colorScale" priority="121">
      <colorScale>
        <cfvo type="num" val="0"/>
        <cfvo type="num" val="1.0000000000000001E-5"/>
        <color rgb="FFE58583"/>
        <color theme="9"/>
      </colorScale>
    </cfRule>
  </conditionalFormatting>
  <conditionalFormatting sqref="M76:N76">
    <cfRule type="colorScale" priority="120">
      <colorScale>
        <cfvo type="num" val="0"/>
        <cfvo type="num" val="1.0000000000000001E-5"/>
        <color rgb="FFE58583"/>
        <color theme="9"/>
      </colorScale>
    </cfRule>
  </conditionalFormatting>
  <conditionalFormatting sqref="J76:K76">
    <cfRule type="colorScale" priority="119">
      <colorScale>
        <cfvo type="num" val="0"/>
        <cfvo type="num" val="1.0000000000000001E-5"/>
        <color rgb="FFE58583"/>
        <color theme="9"/>
      </colorScale>
    </cfRule>
  </conditionalFormatting>
  <conditionalFormatting sqref="M77:N77">
    <cfRule type="colorScale" priority="118">
      <colorScale>
        <cfvo type="num" val="0"/>
        <cfvo type="num" val="1.0000000000000001E-5"/>
        <color rgb="FFE58583"/>
        <color theme="9"/>
      </colorScale>
    </cfRule>
  </conditionalFormatting>
  <conditionalFormatting sqref="J77:K77">
    <cfRule type="colorScale" priority="117">
      <colorScale>
        <cfvo type="num" val="0"/>
        <cfvo type="num" val="1.0000000000000001E-5"/>
        <color rgb="FFE58583"/>
        <color theme="9"/>
      </colorScale>
    </cfRule>
  </conditionalFormatting>
  <conditionalFormatting sqref="M78:N78">
    <cfRule type="colorScale" priority="116">
      <colorScale>
        <cfvo type="num" val="0"/>
        <cfvo type="num" val="1.0000000000000001E-5"/>
        <color rgb="FFE58583"/>
        <color theme="9"/>
      </colorScale>
    </cfRule>
  </conditionalFormatting>
  <conditionalFormatting sqref="J78:K78">
    <cfRule type="colorScale" priority="115">
      <colorScale>
        <cfvo type="num" val="0"/>
        <cfvo type="num" val="1.0000000000000001E-5"/>
        <color rgb="FFE58583"/>
        <color theme="9"/>
      </colorScale>
    </cfRule>
  </conditionalFormatting>
  <conditionalFormatting sqref="M79:N79">
    <cfRule type="colorScale" priority="114">
      <colorScale>
        <cfvo type="num" val="0"/>
        <cfvo type="num" val="1.0000000000000001E-5"/>
        <color rgb="FFE58583"/>
        <color theme="9"/>
      </colorScale>
    </cfRule>
  </conditionalFormatting>
  <conditionalFormatting sqref="J79:K79">
    <cfRule type="colorScale" priority="113">
      <colorScale>
        <cfvo type="num" val="0"/>
        <cfvo type="num" val="1.0000000000000001E-5"/>
        <color rgb="FFE58583"/>
        <color theme="9"/>
      </colorScale>
    </cfRule>
  </conditionalFormatting>
  <conditionalFormatting sqref="M80:N80">
    <cfRule type="colorScale" priority="112">
      <colorScale>
        <cfvo type="num" val="0"/>
        <cfvo type="num" val="1.0000000000000001E-5"/>
        <color rgb="FFE58583"/>
        <color theme="9"/>
      </colorScale>
    </cfRule>
  </conditionalFormatting>
  <conditionalFormatting sqref="J80:K80">
    <cfRule type="colorScale" priority="111">
      <colorScale>
        <cfvo type="num" val="0"/>
        <cfvo type="num" val="1.0000000000000001E-5"/>
        <color rgb="FFE58583"/>
        <color theme="9"/>
      </colorScale>
    </cfRule>
  </conditionalFormatting>
  <conditionalFormatting sqref="M81:N81">
    <cfRule type="colorScale" priority="110">
      <colorScale>
        <cfvo type="num" val="0"/>
        <cfvo type="num" val="1.0000000000000001E-5"/>
        <color rgb="FFE58583"/>
        <color theme="9"/>
      </colorScale>
    </cfRule>
  </conditionalFormatting>
  <conditionalFormatting sqref="J81:K81">
    <cfRule type="colorScale" priority="109">
      <colorScale>
        <cfvo type="num" val="0"/>
        <cfvo type="num" val="1.0000000000000001E-5"/>
        <color rgb="FFE58583"/>
        <color theme="9"/>
      </colorScale>
    </cfRule>
  </conditionalFormatting>
  <conditionalFormatting sqref="M82:N82">
    <cfRule type="colorScale" priority="108">
      <colorScale>
        <cfvo type="num" val="0"/>
        <cfvo type="num" val="1.0000000000000001E-5"/>
        <color rgb="FFE58583"/>
        <color theme="9"/>
      </colorScale>
    </cfRule>
  </conditionalFormatting>
  <conditionalFormatting sqref="J82:K82">
    <cfRule type="colorScale" priority="107">
      <colorScale>
        <cfvo type="num" val="0"/>
        <cfvo type="num" val="1.0000000000000001E-5"/>
        <color rgb="FFE58583"/>
        <color theme="9"/>
      </colorScale>
    </cfRule>
  </conditionalFormatting>
  <conditionalFormatting sqref="M83:N83">
    <cfRule type="colorScale" priority="106">
      <colorScale>
        <cfvo type="num" val="0"/>
        <cfvo type="num" val="1.0000000000000001E-5"/>
        <color rgb="FFE58583"/>
        <color theme="9"/>
      </colorScale>
    </cfRule>
  </conditionalFormatting>
  <conditionalFormatting sqref="J83:K83">
    <cfRule type="colorScale" priority="105">
      <colorScale>
        <cfvo type="num" val="0"/>
        <cfvo type="num" val="1.0000000000000001E-5"/>
        <color rgb="FFE58583"/>
        <color theme="9"/>
      </colorScale>
    </cfRule>
  </conditionalFormatting>
  <conditionalFormatting sqref="M84:N84">
    <cfRule type="colorScale" priority="104">
      <colorScale>
        <cfvo type="num" val="0"/>
        <cfvo type="num" val="1.0000000000000001E-5"/>
        <color rgb="FFE58583"/>
        <color theme="9"/>
      </colorScale>
    </cfRule>
  </conditionalFormatting>
  <conditionalFormatting sqref="J84:K84">
    <cfRule type="colorScale" priority="103">
      <colorScale>
        <cfvo type="num" val="0"/>
        <cfvo type="num" val="1.0000000000000001E-5"/>
        <color rgb="FFE58583"/>
        <color theme="9"/>
      </colorScale>
    </cfRule>
  </conditionalFormatting>
  <conditionalFormatting sqref="M85:N85">
    <cfRule type="colorScale" priority="102">
      <colorScale>
        <cfvo type="num" val="0"/>
        <cfvo type="num" val="1.0000000000000001E-5"/>
        <color rgb="FFE58583"/>
        <color theme="9"/>
      </colorScale>
    </cfRule>
  </conditionalFormatting>
  <conditionalFormatting sqref="J85:K85">
    <cfRule type="colorScale" priority="101">
      <colorScale>
        <cfvo type="num" val="0"/>
        <cfvo type="num" val="1.0000000000000001E-5"/>
        <color rgb="FFE58583"/>
        <color theme="9"/>
      </colorScale>
    </cfRule>
  </conditionalFormatting>
  <conditionalFormatting sqref="M86:N86">
    <cfRule type="colorScale" priority="100">
      <colorScale>
        <cfvo type="num" val="0"/>
        <cfvo type="num" val="1.0000000000000001E-5"/>
        <color rgb="FFE58583"/>
        <color theme="9"/>
      </colorScale>
    </cfRule>
  </conditionalFormatting>
  <conditionalFormatting sqref="J86:K86">
    <cfRule type="colorScale" priority="99">
      <colorScale>
        <cfvo type="num" val="0"/>
        <cfvo type="num" val="1.0000000000000001E-5"/>
        <color rgb="FFE58583"/>
        <color theme="9"/>
      </colorScale>
    </cfRule>
  </conditionalFormatting>
  <conditionalFormatting sqref="M87:N87">
    <cfRule type="colorScale" priority="98">
      <colorScale>
        <cfvo type="num" val="0"/>
        <cfvo type="num" val="1.0000000000000001E-5"/>
        <color rgb="FFE58583"/>
        <color theme="9"/>
      </colorScale>
    </cfRule>
  </conditionalFormatting>
  <conditionalFormatting sqref="J87:K87">
    <cfRule type="colorScale" priority="97">
      <colorScale>
        <cfvo type="num" val="0"/>
        <cfvo type="num" val="1.0000000000000001E-5"/>
        <color rgb="FFE58583"/>
        <color theme="9"/>
      </colorScale>
    </cfRule>
  </conditionalFormatting>
  <conditionalFormatting sqref="M88:N88">
    <cfRule type="colorScale" priority="96">
      <colorScale>
        <cfvo type="num" val="0"/>
        <cfvo type="num" val="1.0000000000000001E-5"/>
        <color rgb="FFE58583"/>
        <color theme="9"/>
      </colorScale>
    </cfRule>
  </conditionalFormatting>
  <conditionalFormatting sqref="J88:K88">
    <cfRule type="colorScale" priority="95">
      <colorScale>
        <cfvo type="num" val="0"/>
        <cfvo type="num" val="1.0000000000000001E-5"/>
        <color rgb="FFE58583"/>
        <color theme="9"/>
      </colorScale>
    </cfRule>
  </conditionalFormatting>
  <conditionalFormatting sqref="M89:N89">
    <cfRule type="colorScale" priority="94">
      <colorScale>
        <cfvo type="num" val="0"/>
        <cfvo type="num" val="1.0000000000000001E-5"/>
        <color rgb="FFE58583"/>
        <color theme="9"/>
      </colorScale>
    </cfRule>
  </conditionalFormatting>
  <conditionalFormatting sqref="J89:K89">
    <cfRule type="colorScale" priority="93">
      <colorScale>
        <cfvo type="num" val="0"/>
        <cfvo type="num" val="1.0000000000000001E-5"/>
        <color rgb="FFE58583"/>
        <color theme="9"/>
      </colorScale>
    </cfRule>
  </conditionalFormatting>
  <conditionalFormatting sqref="M90:N90">
    <cfRule type="colorScale" priority="92">
      <colorScale>
        <cfvo type="num" val="0"/>
        <cfvo type="num" val="1.0000000000000001E-5"/>
        <color rgb="FFE58583"/>
        <color theme="9"/>
      </colorScale>
    </cfRule>
  </conditionalFormatting>
  <conditionalFormatting sqref="J90:K90">
    <cfRule type="colorScale" priority="91">
      <colorScale>
        <cfvo type="num" val="0"/>
        <cfvo type="num" val="1.0000000000000001E-5"/>
        <color rgb="FFE58583"/>
        <color theme="9"/>
      </colorScale>
    </cfRule>
  </conditionalFormatting>
  <conditionalFormatting sqref="M91:N91">
    <cfRule type="colorScale" priority="90">
      <colorScale>
        <cfvo type="num" val="0"/>
        <cfvo type="num" val="1.0000000000000001E-5"/>
        <color rgb="FFE58583"/>
        <color theme="9"/>
      </colorScale>
    </cfRule>
  </conditionalFormatting>
  <conditionalFormatting sqref="J91:K91">
    <cfRule type="colorScale" priority="89">
      <colorScale>
        <cfvo type="num" val="0"/>
        <cfvo type="num" val="1.0000000000000001E-5"/>
        <color rgb="FFE58583"/>
        <color theme="9"/>
      </colorScale>
    </cfRule>
  </conditionalFormatting>
  <conditionalFormatting sqref="M92:N92">
    <cfRule type="colorScale" priority="88">
      <colorScale>
        <cfvo type="num" val="0"/>
        <cfvo type="num" val="1.0000000000000001E-5"/>
        <color rgb="FFE58583"/>
        <color theme="9"/>
      </colorScale>
    </cfRule>
  </conditionalFormatting>
  <conditionalFormatting sqref="J92:K92">
    <cfRule type="colorScale" priority="87">
      <colorScale>
        <cfvo type="num" val="0"/>
        <cfvo type="num" val="1.0000000000000001E-5"/>
        <color rgb="FFE58583"/>
        <color theme="9"/>
      </colorScale>
    </cfRule>
  </conditionalFormatting>
  <conditionalFormatting sqref="M93:N93">
    <cfRule type="colorScale" priority="86">
      <colorScale>
        <cfvo type="num" val="0"/>
        <cfvo type="num" val="1.0000000000000001E-5"/>
        <color rgb="FFE58583"/>
        <color theme="9"/>
      </colorScale>
    </cfRule>
  </conditionalFormatting>
  <conditionalFormatting sqref="J93:K93">
    <cfRule type="colorScale" priority="85">
      <colorScale>
        <cfvo type="num" val="0"/>
        <cfvo type="num" val="1.0000000000000001E-5"/>
        <color rgb="FFE58583"/>
        <color theme="9"/>
      </colorScale>
    </cfRule>
  </conditionalFormatting>
  <conditionalFormatting sqref="M94:N94">
    <cfRule type="colorScale" priority="84">
      <colorScale>
        <cfvo type="num" val="0"/>
        <cfvo type="num" val="1.0000000000000001E-5"/>
        <color rgb="FFE58583"/>
        <color theme="9"/>
      </colorScale>
    </cfRule>
  </conditionalFormatting>
  <conditionalFormatting sqref="J94:K94">
    <cfRule type="colorScale" priority="83">
      <colorScale>
        <cfvo type="num" val="0"/>
        <cfvo type="num" val="1.0000000000000001E-5"/>
        <color rgb="FFE58583"/>
        <color theme="9"/>
      </colorScale>
    </cfRule>
  </conditionalFormatting>
  <conditionalFormatting sqref="M95:N95">
    <cfRule type="colorScale" priority="82">
      <colorScale>
        <cfvo type="num" val="0"/>
        <cfvo type="num" val="1.0000000000000001E-5"/>
        <color rgb="FFE58583"/>
        <color theme="9"/>
      </colorScale>
    </cfRule>
  </conditionalFormatting>
  <conditionalFormatting sqref="J95:K95">
    <cfRule type="colorScale" priority="81">
      <colorScale>
        <cfvo type="num" val="0"/>
        <cfvo type="num" val="1.0000000000000001E-5"/>
        <color rgb="FFE58583"/>
        <color theme="9"/>
      </colorScale>
    </cfRule>
  </conditionalFormatting>
  <conditionalFormatting sqref="M96:N96">
    <cfRule type="colorScale" priority="80">
      <colorScale>
        <cfvo type="num" val="0"/>
        <cfvo type="num" val="1.0000000000000001E-5"/>
        <color rgb="FFE58583"/>
        <color theme="9"/>
      </colorScale>
    </cfRule>
  </conditionalFormatting>
  <conditionalFormatting sqref="J96:K96">
    <cfRule type="colorScale" priority="79">
      <colorScale>
        <cfvo type="num" val="0"/>
        <cfvo type="num" val="1.0000000000000001E-5"/>
        <color rgb="FFE58583"/>
        <color theme="9"/>
      </colorScale>
    </cfRule>
  </conditionalFormatting>
  <conditionalFormatting sqref="M97:N97">
    <cfRule type="colorScale" priority="78">
      <colorScale>
        <cfvo type="num" val="0"/>
        <cfvo type="num" val="1.0000000000000001E-5"/>
        <color rgb="FFE58583"/>
        <color theme="9"/>
      </colorScale>
    </cfRule>
  </conditionalFormatting>
  <conditionalFormatting sqref="J97:K97">
    <cfRule type="colorScale" priority="77">
      <colorScale>
        <cfvo type="num" val="0"/>
        <cfvo type="num" val="1.0000000000000001E-5"/>
        <color rgb="FFE58583"/>
        <color theme="9"/>
      </colorScale>
    </cfRule>
  </conditionalFormatting>
  <conditionalFormatting sqref="M99:N99">
    <cfRule type="colorScale" priority="74">
      <colorScale>
        <cfvo type="num" val="0"/>
        <cfvo type="num" val="1.0000000000000001E-5"/>
        <color rgb="FFE58583"/>
        <color theme="9"/>
      </colorScale>
    </cfRule>
  </conditionalFormatting>
  <conditionalFormatting sqref="J99:K99">
    <cfRule type="colorScale" priority="73">
      <colorScale>
        <cfvo type="num" val="0"/>
        <cfvo type="num" val="1.0000000000000001E-5"/>
        <color rgb="FFE58583"/>
        <color theme="9"/>
      </colorScale>
    </cfRule>
  </conditionalFormatting>
  <conditionalFormatting sqref="M98:N98">
    <cfRule type="colorScale" priority="76">
      <colorScale>
        <cfvo type="num" val="0"/>
        <cfvo type="num" val="1.0000000000000001E-5"/>
        <color rgb="FFE58583"/>
        <color theme="9"/>
      </colorScale>
    </cfRule>
  </conditionalFormatting>
  <conditionalFormatting sqref="J98:K98">
    <cfRule type="colorScale" priority="75">
      <colorScale>
        <cfvo type="num" val="0"/>
        <cfvo type="num" val="1.0000000000000001E-5"/>
        <color rgb="FFE58583"/>
        <color theme="9"/>
      </colorScale>
    </cfRule>
  </conditionalFormatting>
  <conditionalFormatting sqref="M100:N100">
    <cfRule type="colorScale" priority="72">
      <colorScale>
        <cfvo type="num" val="0"/>
        <cfvo type="num" val="1.0000000000000001E-5"/>
        <color rgb="FFE58583"/>
        <color theme="9"/>
      </colorScale>
    </cfRule>
  </conditionalFormatting>
  <conditionalFormatting sqref="J100:K100">
    <cfRule type="colorScale" priority="71">
      <colorScale>
        <cfvo type="num" val="0"/>
        <cfvo type="num" val="1.0000000000000001E-5"/>
        <color rgb="FFE58583"/>
        <color theme="9"/>
      </colorScale>
    </cfRule>
  </conditionalFormatting>
  <conditionalFormatting sqref="M101:N101">
    <cfRule type="colorScale" priority="70">
      <colorScale>
        <cfvo type="num" val="0"/>
        <cfvo type="num" val="1.0000000000000001E-5"/>
        <color rgb="FFE58583"/>
        <color theme="9"/>
      </colorScale>
    </cfRule>
  </conditionalFormatting>
  <conditionalFormatting sqref="J101:K101">
    <cfRule type="colorScale" priority="69">
      <colorScale>
        <cfvo type="num" val="0"/>
        <cfvo type="num" val="1.0000000000000001E-5"/>
        <color rgb="FFE58583"/>
        <color theme="9"/>
      </colorScale>
    </cfRule>
  </conditionalFormatting>
  <conditionalFormatting sqref="M102:N102">
    <cfRule type="colorScale" priority="68">
      <colorScale>
        <cfvo type="num" val="0"/>
        <cfvo type="num" val="1.0000000000000001E-5"/>
        <color rgb="FFE58583"/>
        <color theme="9"/>
      </colorScale>
    </cfRule>
  </conditionalFormatting>
  <conditionalFormatting sqref="J102:K102">
    <cfRule type="colorScale" priority="67">
      <colorScale>
        <cfvo type="num" val="0"/>
        <cfvo type="num" val="1.0000000000000001E-5"/>
        <color rgb="FFE58583"/>
        <color theme="9"/>
      </colorScale>
    </cfRule>
  </conditionalFormatting>
  <conditionalFormatting sqref="M103:N103">
    <cfRule type="colorScale" priority="66">
      <colorScale>
        <cfvo type="num" val="0"/>
        <cfvo type="num" val="1.0000000000000001E-5"/>
        <color rgb="FFE58583"/>
        <color theme="9"/>
      </colorScale>
    </cfRule>
  </conditionalFormatting>
  <conditionalFormatting sqref="J103:K103">
    <cfRule type="colorScale" priority="65">
      <colorScale>
        <cfvo type="num" val="0"/>
        <cfvo type="num" val="1.0000000000000001E-5"/>
        <color rgb="FFE58583"/>
        <color theme="9"/>
      </colorScale>
    </cfRule>
  </conditionalFormatting>
  <conditionalFormatting sqref="M104:N104">
    <cfRule type="colorScale" priority="64">
      <colorScale>
        <cfvo type="num" val="0"/>
        <cfvo type="num" val="1.0000000000000001E-5"/>
        <color rgb="FFE58583"/>
        <color theme="9"/>
      </colorScale>
    </cfRule>
  </conditionalFormatting>
  <conditionalFormatting sqref="J104:K104">
    <cfRule type="colorScale" priority="63">
      <colorScale>
        <cfvo type="num" val="0"/>
        <cfvo type="num" val="1.0000000000000001E-5"/>
        <color rgb="FFE58583"/>
        <color theme="9"/>
      </colorScale>
    </cfRule>
  </conditionalFormatting>
  <conditionalFormatting sqref="M105:N105">
    <cfRule type="colorScale" priority="62">
      <colorScale>
        <cfvo type="num" val="0"/>
        <cfvo type="num" val="1.0000000000000001E-5"/>
        <color rgb="FFE58583"/>
        <color theme="9"/>
      </colorScale>
    </cfRule>
  </conditionalFormatting>
  <conditionalFormatting sqref="J105:K105">
    <cfRule type="colorScale" priority="61">
      <colorScale>
        <cfvo type="num" val="0"/>
        <cfvo type="num" val="1.0000000000000001E-5"/>
        <color rgb="FFE58583"/>
        <color theme="9"/>
      </colorScale>
    </cfRule>
  </conditionalFormatting>
  <conditionalFormatting sqref="M107:N107">
    <cfRule type="colorScale" priority="58">
      <colorScale>
        <cfvo type="num" val="0"/>
        <cfvo type="num" val="1.0000000000000001E-5"/>
        <color rgb="FFE58583"/>
        <color theme="9"/>
      </colorScale>
    </cfRule>
  </conditionalFormatting>
  <conditionalFormatting sqref="J107:K107">
    <cfRule type="colorScale" priority="57">
      <colorScale>
        <cfvo type="num" val="0"/>
        <cfvo type="num" val="1.0000000000000001E-5"/>
        <color rgb="FFE58583"/>
        <color theme="9"/>
      </colorScale>
    </cfRule>
  </conditionalFormatting>
  <conditionalFormatting sqref="M106:N106">
    <cfRule type="colorScale" priority="60">
      <colorScale>
        <cfvo type="num" val="0"/>
        <cfvo type="num" val="1.0000000000000001E-5"/>
        <color rgb="FFE58583"/>
        <color theme="9"/>
      </colorScale>
    </cfRule>
  </conditionalFormatting>
  <conditionalFormatting sqref="J106:K106">
    <cfRule type="colorScale" priority="59">
      <colorScale>
        <cfvo type="num" val="0"/>
        <cfvo type="num" val="1.0000000000000001E-5"/>
        <color rgb="FFE58583"/>
        <color theme="9"/>
      </colorScale>
    </cfRule>
  </conditionalFormatting>
  <conditionalFormatting sqref="M108:N108">
    <cfRule type="colorScale" priority="56">
      <colorScale>
        <cfvo type="num" val="0"/>
        <cfvo type="num" val="1.0000000000000001E-5"/>
        <color rgb="FFE58583"/>
        <color theme="9"/>
      </colorScale>
    </cfRule>
  </conditionalFormatting>
  <conditionalFormatting sqref="J108:K108">
    <cfRule type="colorScale" priority="55">
      <colorScale>
        <cfvo type="num" val="0"/>
        <cfvo type="num" val="1.0000000000000001E-5"/>
        <color rgb="FFE58583"/>
        <color theme="9"/>
      </colorScale>
    </cfRule>
  </conditionalFormatting>
  <conditionalFormatting sqref="M109:N109">
    <cfRule type="colorScale" priority="54">
      <colorScale>
        <cfvo type="num" val="0"/>
        <cfvo type="num" val="1.0000000000000001E-5"/>
        <color rgb="FFE58583"/>
        <color theme="9"/>
      </colorScale>
    </cfRule>
  </conditionalFormatting>
  <conditionalFormatting sqref="J109:K109">
    <cfRule type="colorScale" priority="53">
      <colorScale>
        <cfvo type="num" val="0"/>
        <cfvo type="num" val="1.0000000000000001E-5"/>
        <color rgb="FFE58583"/>
        <color theme="9"/>
      </colorScale>
    </cfRule>
  </conditionalFormatting>
  <conditionalFormatting sqref="M110:N110">
    <cfRule type="colorScale" priority="52">
      <colorScale>
        <cfvo type="num" val="0"/>
        <cfvo type="num" val="1.0000000000000001E-5"/>
        <color rgb="FFE58583"/>
        <color theme="9"/>
      </colorScale>
    </cfRule>
  </conditionalFormatting>
  <conditionalFormatting sqref="J110:K110">
    <cfRule type="colorScale" priority="51">
      <colorScale>
        <cfvo type="num" val="0"/>
        <cfvo type="num" val="1.0000000000000001E-5"/>
        <color rgb="FFE58583"/>
        <color theme="9"/>
      </colorScale>
    </cfRule>
  </conditionalFormatting>
  <conditionalFormatting sqref="M111:N111">
    <cfRule type="colorScale" priority="50">
      <colorScale>
        <cfvo type="num" val="0"/>
        <cfvo type="num" val="1.0000000000000001E-5"/>
        <color rgb="FFE58583"/>
        <color theme="9"/>
      </colorScale>
    </cfRule>
  </conditionalFormatting>
  <conditionalFormatting sqref="J111:K111">
    <cfRule type="colorScale" priority="49">
      <colorScale>
        <cfvo type="num" val="0"/>
        <cfvo type="num" val="1.0000000000000001E-5"/>
        <color rgb="FFE58583"/>
        <color theme="9"/>
      </colorScale>
    </cfRule>
  </conditionalFormatting>
  <conditionalFormatting sqref="M112:N112">
    <cfRule type="colorScale" priority="48">
      <colorScale>
        <cfvo type="num" val="0"/>
        <cfvo type="num" val="1.0000000000000001E-5"/>
        <color rgb="FFE58583"/>
        <color theme="9"/>
      </colorScale>
    </cfRule>
  </conditionalFormatting>
  <conditionalFormatting sqref="J112:K112">
    <cfRule type="colorScale" priority="47">
      <colorScale>
        <cfvo type="num" val="0"/>
        <cfvo type="num" val="1.0000000000000001E-5"/>
        <color rgb="FFE58583"/>
        <color theme="9"/>
      </colorScale>
    </cfRule>
  </conditionalFormatting>
  <conditionalFormatting sqref="M114:N114">
    <cfRule type="colorScale" priority="46">
      <colorScale>
        <cfvo type="num" val="0"/>
        <cfvo type="num" val="1.0000000000000001E-5"/>
        <color rgb="FFE58583"/>
        <color theme="9"/>
      </colorScale>
    </cfRule>
  </conditionalFormatting>
  <conditionalFormatting sqref="J114:K114">
    <cfRule type="colorScale" priority="45">
      <colorScale>
        <cfvo type="num" val="0"/>
        <cfvo type="num" val="1.0000000000000001E-5"/>
        <color rgb="FFE58583"/>
        <color theme="9"/>
      </colorScale>
    </cfRule>
  </conditionalFormatting>
  <conditionalFormatting sqref="J115:K115">
    <cfRule type="colorScale" priority="43">
      <colorScale>
        <cfvo type="num" val="0"/>
        <cfvo type="num" val="1.0000000000000001E-5"/>
        <color rgb="FFE58583"/>
        <color theme="9"/>
      </colorScale>
    </cfRule>
  </conditionalFormatting>
  <conditionalFormatting sqref="M115:N115">
    <cfRule type="colorScale" priority="44">
      <colorScale>
        <cfvo type="num" val="0"/>
        <cfvo type="num" val="1.0000000000000001E-5"/>
        <color rgb="FFE58583"/>
        <color theme="9"/>
      </colorScale>
    </cfRule>
  </conditionalFormatting>
  <conditionalFormatting sqref="J116:K116">
    <cfRule type="colorScale" priority="41">
      <colorScale>
        <cfvo type="num" val="0"/>
        <cfvo type="num" val="1.0000000000000001E-5"/>
        <color rgb="FFE58583"/>
        <color theme="9"/>
      </colorScale>
    </cfRule>
  </conditionalFormatting>
  <conditionalFormatting sqref="M116:N116">
    <cfRule type="colorScale" priority="42">
      <colorScale>
        <cfvo type="num" val="0"/>
        <cfvo type="num" val="1.0000000000000001E-5"/>
        <color rgb="FFE58583"/>
        <color theme="9"/>
      </colorScale>
    </cfRule>
  </conditionalFormatting>
  <conditionalFormatting sqref="J117:K117">
    <cfRule type="colorScale" priority="39">
      <colorScale>
        <cfvo type="num" val="0"/>
        <cfvo type="num" val="1.0000000000000001E-5"/>
        <color rgb="FFE58583"/>
        <color theme="9"/>
      </colorScale>
    </cfRule>
  </conditionalFormatting>
  <conditionalFormatting sqref="M117:N117">
    <cfRule type="colorScale" priority="40">
      <colorScale>
        <cfvo type="num" val="0"/>
        <cfvo type="num" val="1.0000000000000001E-5"/>
        <color rgb="FFE58583"/>
        <color theme="9"/>
      </colorScale>
    </cfRule>
  </conditionalFormatting>
  <conditionalFormatting sqref="J118:K118">
    <cfRule type="colorScale" priority="37">
      <colorScale>
        <cfvo type="num" val="0"/>
        <cfvo type="num" val="1.0000000000000001E-5"/>
        <color rgb="FFE58583"/>
        <color theme="9"/>
      </colorScale>
    </cfRule>
  </conditionalFormatting>
  <conditionalFormatting sqref="M118:N118">
    <cfRule type="colorScale" priority="38">
      <colorScale>
        <cfvo type="num" val="0"/>
        <cfvo type="num" val="1.0000000000000001E-5"/>
        <color rgb="FFE58583"/>
        <color theme="9"/>
      </colorScale>
    </cfRule>
  </conditionalFormatting>
  <conditionalFormatting sqref="J119:K119">
    <cfRule type="colorScale" priority="35">
      <colorScale>
        <cfvo type="num" val="0"/>
        <cfvo type="num" val="1.0000000000000001E-5"/>
        <color rgb="FFE58583"/>
        <color theme="9"/>
      </colorScale>
    </cfRule>
  </conditionalFormatting>
  <conditionalFormatting sqref="M119:N119">
    <cfRule type="colorScale" priority="36">
      <colorScale>
        <cfvo type="num" val="0"/>
        <cfvo type="num" val="1.0000000000000001E-5"/>
        <color rgb="FFE58583"/>
        <color theme="9"/>
      </colorScale>
    </cfRule>
  </conditionalFormatting>
  <conditionalFormatting sqref="J120:K120">
    <cfRule type="colorScale" priority="33">
      <colorScale>
        <cfvo type="num" val="0"/>
        <cfvo type="num" val="1.0000000000000001E-5"/>
        <color rgb="FFE58583"/>
        <color theme="9"/>
      </colorScale>
    </cfRule>
  </conditionalFormatting>
  <conditionalFormatting sqref="M120:N120">
    <cfRule type="colorScale" priority="34">
      <colorScale>
        <cfvo type="num" val="0"/>
        <cfvo type="num" val="1.0000000000000001E-5"/>
        <color rgb="FFE58583"/>
        <color theme="9"/>
      </colorScale>
    </cfRule>
  </conditionalFormatting>
  <conditionalFormatting sqref="J121:K121">
    <cfRule type="colorScale" priority="31">
      <colorScale>
        <cfvo type="num" val="0"/>
        <cfvo type="num" val="1.0000000000000001E-5"/>
        <color rgb="FFE58583"/>
        <color theme="9"/>
      </colorScale>
    </cfRule>
  </conditionalFormatting>
  <conditionalFormatting sqref="M121:N121">
    <cfRule type="colorScale" priority="32">
      <colorScale>
        <cfvo type="num" val="0"/>
        <cfvo type="num" val="1.0000000000000001E-5"/>
        <color rgb="FFE58583"/>
        <color theme="9"/>
      </colorScale>
    </cfRule>
  </conditionalFormatting>
  <conditionalFormatting sqref="M113:N113">
    <cfRule type="colorScale" priority="30">
      <colorScale>
        <cfvo type="num" val="0"/>
        <cfvo type="num" val="1.0000000000000001E-5"/>
        <color rgb="FFE58583"/>
        <color theme="9"/>
      </colorScale>
    </cfRule>
  </conditionalFormatting>
  <conditionalFormatting sqref="J113:K113">
    <cfRule type="colorScale" priority="29">
      <colorScale>
        <cfvo type="num" val="0"/>
        <cfvo type="num" val="1.0000000000000001E-5"/>
        <color rgb="FFE58583"/>
        <color theme="9"/>
      </colorScale>
    </cfRule>
  </conditionalFormatting>
  <conditionalFormatting sqref="J122:K122">
    <cfRule type="colorScale" priority="27">
      <colorScale>
        <cfvo type="num" val="0"/>
        <cfvo type="num" val="1.0000000000000001E-5"/>
        <color rgb="FFE58583"/>
        <color theme="9"/>
      </colorScale>
    </cfRule>
  </conditionalFormatting>
  <conditionalFormatting sqref="M122:N122">
    <cfRule type="colorScale" priority="28">
      <colorScale>
        <cfvo type="num" val="0"/>
        <cfvo type="num" val="1.0000000000000001E-5"/>
        <color rgb="FFE58583"/>
        <color theme="9"/>
      </colorScale>
    </cfRule>
  </conditionalFormatting>
  <conditionalFormatting sqref="J123:K123">
    <cfRule type="colorScale" priority="25">
      <colorScale>
        <cfvo type="num" val="0"/>
        <cfvo type="num" val="1.0000000000000001E-5"/>
        <color rgb="FFE58583"/>
        <color theme="9"/>
      </colorScale>
    </cfRule>
  </conditionalFormatting>
  <conditionalFormatting sqref="M123:N123">
    <cfRule type="colorScale" priority="26">
      <colorScale>
        <cfvo type="num" val="0"/>
        <cfvo type="num" val="1.0000000000000001E-5"/>
        <color rgb="FFE58583"/>
        <color theme="9"/>
      </colorScale>
    </cfRule>
  </conditionalFormatting>
  <conditionalFormatting sqref="J124:K124">
    <cfRule type="colorScale" priority="23">
      <colorScale>
        <cfvo type="num" val="0"/>
        <cfvo type="num" val="1.0000000000000001E-5"/>
        <color rgb="FFE58583"/>
        <color theme="9"/>
      </colorScale>
    </cfRule>
  </conditionalFormatting>
  <conditionalFormatting sqref="M124:N124">
    <cfRule type="colorScale" priority="24">
      <colorScale>
        <cfvo type="num" val="0"/>
        <cfvo type="num" val="1.0000000000000001E-5"/>
        <color rgb="FFE58583"/>
        <color theme="9"/>
      </colorScale>
    </cfRule>
  </conditionalFormatting>
  <conditionalFormatting sqref="J125:K125">
    <cfRule type="colorScale" priority="21">
      <colorScale>
        <cfvo type="num" val="0"/>
        <cfvo type="num" val="1.0000000000000001E-5"/>
        <color rgb="FFE58583"/>
        <color theme="9"/>
      </colorScale>
    </cfRule>
  </conditionalFormatting>
  <conditionalFormatting sqref="M125:N125">
    <cfRule type="colorScale" priority="22">
      <colorScale>
        <cfvo type="num" val="0"/>
        <cfvo type="num" val="1.0000000000000001E-5"/>
        <color rgb="FFE58583"/>
        <color theme="9"/>
      </colorScale>
    </cfRule>
  </conditionalFormatting>
  <conditionalFormatting sqref="J126:K126">
    <cfRule type="colorScale" priority="19">
      <colorScale>
        <cfvo type="num" val="0"/>
        <cfvo type="num" val="1.0000000000000001E-5"/>
        <color rgb="FFE58583"/>
        <color theme="9"/>
      </colorScale>
    </cfRule>
  </conditionalFormatting>
  <conditionalFormatting sqref="M126:N126">
    <cfRule type="colorScale" priority="20">
      <colorScale>
        <cfvo type="num" val="0"/>
        <cfvo type="num" val="1.0000000000000001E-5"/>
        <color rgb="FFE58583"/>
        <color theme="9"/>
      </colorScale>
    </cfRule>
  </conditionalFormatting>
  <conditionalFormatting sqref="J127:K127">
    <cfRule type="colorScale" priority="17">
      <colorScale>
        <cfvo type="num" val="0"/>
        <cfvo type="num" val="1.0000000000000001E-5"/>
        <color rgb="FFE58583"/>
        <color theme="9"/>
      </colorScale>
    </cfRule>
  </conditionalFormatting>
  <conditionalFormatting sqref="M127:N127">
    <cfRule type="colorScale" priority="18">
      <colorScale>
        <cfvo type="num" val="0"/>
        <cfvo type="num" val="1.0000000000000001E-5"/>
        <color rgb="FFE58583"/>
        <color theme="9"/>
      </colorScale>
    </cfRule>
  </conditionalFormatting>
  <conditionalFormatting sqref="J128:K128">
    <cfRule type="colorScale" priority="15">
      <colorScale>
        <cfvo type="num" val="0"/>
        <cfvo type="num" val="1.0000000000000001E-5"/>
        <color rgb="FFE58583"/>
        <color theme="9"/>
      </colorScale>
    </cfRule>
  </conditionalFormatting>
  <conditionalFormatting sqref="M128:N128">
    <cfRule type="colorScale" priority="16">
      <colorScale>
        <cfvo type="num" val="0"/>
        <cfvo type="num" val="1.0000000000000001E-5"/>
        <color rgb="FFE58583"/>
        <color theme="9"/>
      </colorScale>
    </cfRule>
  </conditionalFormatting>
  <conditionalFormatting sqref="J129:K129">
    <cfRule type="colorScale" priority="13">
      <colorScale>
        <cfvo type="num" val="0"/>
        <cfvo type="num" val="1.0000000000000001E-5"/>
        <color rgb="FFE58583"/>
        <color theme="9"/>
      </colorScale>
    </cfRule>
  </conditionalFormatting>
  <conditionalFormatting sqref="M129:N129">
    <cfRule type="colorScale" priority="14">
      <colorScale>
        <cfvo type="num" val="0"/>
        <cfvo type="num" val="1.0000000000000001E-5"/>
        <color rgb="FFE58583"/>
        <color theme="9"/>
      </colorScale>
    </cfRule>
  </conditionalFormatting>
  <conditionalFormatting sqref="J130:K130">
    <cfRule type="colorScale" priority="11">
      <colorScale>
        <cfvo type="num" val="0"/>
        <cfvo type="num" val="1.0000000000000001E-5"/>
        <color rgb="FFE58583"/>
        <color theme="9"/>
      </colorScale>
    </cfRule>
  </conditionalFormatting>
  <conditionalFormatting sqref="M130:N130">
    <cfRule type="colorScale" priority="12">
      <colorScale>
        <cfvo type="num" val="0"/>
        <cfvo type="num" val="1.0000000000000001E-5"/>
        <color rgb="FFE58583"/>
        <color theme="9"/>
      </colorScale>
    </cfRule>
  </conditionalFormatting>
  <conditionalFormatting sqref="J131:K131">
    <cfRule type="colorScale" priority="9">
      <colorScale>
        <cfvo type="num" val="0"/>
        <cfvo type="num" val="1.0000000000000001E-5"/>
        <color rgb="FFE58583"/>
        <color theme="9"/>
      </colorScale>
    </cfRule>
  </conditionalFormatting>
  <conditionalFormatting sqref="M131:N131">
    <cfRule type="colorScale" priority="10">
      <colorScale>
        <cfvo type="num" val="0"/>
        <cfvo type="num" val="1.0000000000000001E-5"/>
        <color rgb="FFE58583"/>
        <color theme="9"/>
      </colorScale>
    </cfRule>
  </conditionalFormatting>
  <conditionalFormatting sqref="J132:K132">
    <cfRule type="colorScale" priority="7">
      <colorScale>
        <cfvo type="num" val="0"/>
        <cfvo type="num" val="1.0000000000000001E-5"/>
        <color rgb="FFE58583"/>
        <color theme="9"/>
      </colorScale>
    </cfRule>
  </conditionalFormatting>
  <conditionalFormatting sqref="M132:N132">
    <cfRule type="colorScale" priority="8">
      <colorScale>
        <cfvo type="num" val="0"/>
        <cfvo type="num" val="1.0000000000000001E-5"/>
        <color rgb="FFE58583"/>
        <color theme="9"/>
      </colorScale>
    </cfRule>
  </conditionalFormatting>
  <conditionalFormatting sqref="J133:K133">
    <cfRule type="colorScale" priority="5">
      <colorScale>
        <cfvo type="num" val="0"/>
        <cfvo type="num" val="1.0000000000000001E-5"/>
        <color rgb="FFE58583"/>
        <color theme="9"/>
      </colorScale>
    </cfRule>
  </conditionalFormatting>
  <conditionalFormatting sqref="M133:N133">
    <cfRule type="colorScale" priority="6">
      <colorScale>
        <cfvo type="num" val="0"/>
        <cfvo type="num" val="1.0000000000000001E-5"/>
        <color rgb="FFE58583"/>
        <color theme="9"/>
      </colorScale>
    </cfRule>
  </conditionalFormatting>
  <conditionalFormatting sqref="J134:K134">
    <cfRule type="colorScale" priority="3">
      <colorScale>
        <cfvo type="num" val="0"/>
        <cfvo type="num" val="1.0000000000000001E-5"/>
        <color rgb="FFE58583"/>
        <color theme="9"/>
      </colorScale>
    </cfRule>
  </conditionalFormatting>
  <conditionalFormatting sqref="M134:N134">
    <cfRule type="colorScale" priority="4">
      <colorScale>
        <cfvo type="num" val="0"/>
        <cfvo type="num" val="1.0000000000000001E-5"/>
        <color rgb="FFE58583"/>
        <color theme="9"/>
      </colorScale>
    </cfRule>
  </conditionalFormatting>
  <conditionalFormatting sqref="J135:K135">
    <cfRule type="colorScale" priority="1">
      <colorScale>
        <cfvo type="num" val="0"/>
        <cfvo type="num" val="1.0000000000000001E-5"/>
        <color rgb="FFE58583"/>
        <color theme="9"/>
      </colorScale>
    </cfRule>
  </conditionalFormatting>
  <conditionalFormatting sqref="M135:N135">
    <cfRule type="colorScale" priority="2">
      <colorScale>
        <cfvo type="num" val="0"/>
        <cfvo type="num" val="1.0000000000000001E-5"/>
        <color rgb="FFE58583"/>
        <color theme="9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>
                <anchor moveWithCells="1" sizeWithCells="1">
                  <from>
                    <xdr:col>18</xdr:col>
                    <xdr:colOff>495300</xdr:colOff>
                    <xdr:row>140</xdr:row>
                    <xdr:rowOff>165100</xdr:rowOff>
                  </from>
                  <to>
                    <xdr:col>21</xdr:col>
                    <xdr:colOff>12700</xdr:colOff>
                    <xdr:row>144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2016-10-20T12:10:29Z</dcterms:created>
  <dcterms:modified xsi:type="dcterms:W3CDTF">2016-10-30T06:53:32Z</dcterms:modified>
</cp:coreProperties>
</file>